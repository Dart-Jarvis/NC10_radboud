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005cbk/Documents/lab/NC10_Radboud/code/"/>
    </mc:Choice>
  </mc:AlternateContent>
  <xr:revisionPtr revIDLastSave="0" documentId="13_ncr:9_{594407B1-A5CC-3A44-9472-21DF6438616B}" xr6:coauthVersionLast="47" xr6:coauthVersionMax="47" xr10:uidLastSave="{00000000-0000-0000-0000-000000000000}"/>
  <bookViews>
    <workbookView xWindow="0" yWindow="500" windowWidth="28800" windowHeight="16440" xr2:uid="{2C52F002-3CBE-A64B-89A4-09B4655299CB}"/>
  </bookViews>
  <sheets>
    <sheet name="isotop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0" i="1" l="1"/>
  <c r="AO30" i="1" s="1"/>
  <c r="AP30" i="1" s="1"/>
  <c r="AI30" i="1"/>
  <c r="AM30" i="1" s="1"/>
  <c r="AN30" i="1" s="1"/>
  <c r="AG30" i="1"/>
  <c r="AE30" i="1"/>
  <c r="AO46" i="1"/>
  <c r="AM46" i="1"/>
  <c r="AI35" i="1"/>
  <c r="AM35" i="1" s="1"/>
  <c r="AH35" i="1"/>
  <c r="AF35" i="1"/>
  <c r="AJ35" i="1" s="1"/>
  <c r="AG35" i="1"/>
  <c r="AE35" i="1"/>
  <c r="AH36" i="1"/>
  <c r="AG36" i="1"/>
  <c r="AI36" i="1" s="1"/>
  <c r="AM36" i="1" s="1"/>
  <c r="AF36" i="1"/>
  <c r="AJ36" i="1" s="1"/>
  <c r="AE36" i="1"/>
  <c r="AK31" i="1"/>
  <c r="AI31" i="1"/>
  <c r="AM31" i="1" s="1"/>
  <c r="AN31" i="1" s="1"/>
  <c r="AG31" i="1"/>
  <c r="AO31" i="1" s="1"/>
  <c r="AP31" i="1" s="1"/>
  <c r="AE31" i="1"/>
  <c r="AO28" i="1"/>
  <c r="AP28" i="1" s="1"/>
  <c r="AK28" i="1"/>
  <c r="AI28" i="1"/>
  <c r="AM28" i="1" s="1"/>
  <c r="AN28" i="1" s="1"/>
  <c r="AG28" i="1"/>
  <c r="AE28" i="1"/>
  <c r="AK27" i="1"/>
  <c r="AI27" i="1"/>
  <c r="AG27" i="1"/>
  <c r="AE27" i="1"/>
  <c r="AK26" i="1"/>
  <c r="AI26" i="1"/>
  <c r="AG26" i="1"/>
  <c r="AO26" i="1" s="1"/>
  <c r="AP26" i="1" s="1"/>
  <c r="AE26" i="1"/>
  <c r="AM26" i="1" s="1"/>
  <c r="AN26" i="1" s="1"/>
  <c r="AE19" i="1"/>
  <c r="AF19" i="1"/>
  <c r="AG19" i="1"/>
  <c r="AH19" i="1"/>
  <c r="AE20" i="1"/>
  <c r="AF20" i="1"/>
  <c r="AG20" i="1"/>
  <c r="AH20" i="1"/>
  <c r="AA29" i="1"/>
  <c r="AA30" i="1"/>
  <c r="AA31" i="1"/>
  <c r="AA28" i="1"/>
  <c r="AA23" i="1"/>
  <c r="AA24" i="1"/>
  <c r="AA25" i="1"/>
  <c r="AA26" i="1"/>
  <c r="AA22" i="1"/>
  <c r="AA17" i="1"/>
  <c r="AA18" i="1"/>
  <c r="AA19" i="1"/>
  <c r="AA20" i="1"/>
  <c r="AA16" i="1"/>
  <c r="AA10" i="1"/>
  <c r="AA11" i="1"/>
  <c r="AA12" i="1"/>
  <c r="AA13" i="1"/>
  <c r="AA14" i="1"/>
  <c r="AA9" i="1"/>
  <c r="AA4" i="1"/>
  <c r="AA5" i="1"/>
  <c r="AA6" i="1"/>
  <c r="AA7" i="1"/>
  <c r="AA3" i="1"/>
  <c r="Y29" i="1"/>
  <c r="Y30" i="1"/>
  <c r="Y31" i="1"/>
  <c r="Y28" i="1"/>
  <c r="Y23" i="1"/>
  <c r="Y24" i="1"/>
  <c r="Y25" i="1"/>
  <c r="Y26" i="1"/>
  <c r="Y22" i="1"/>
  <c r="Y17" i="1"/>
  <c r="Y18" i="1"/>
  <c r="Y19" i="1"/>
  <c r="Y20" i="1"/>
  <c r="Y16" i="1"/>
  <c r="Y10" i="1"/>
  <c r="Y11" i="1"/>
  <c r="Y12" i="1"/>
  <c r="Y13" i="1"/>
  <c r="Y14" i="1"/>
  <c r="Y9" i="1"/>
  <c r="Y6" i="1"/>
  <c r="Y4" i="1"/>
  <c r="Y5" i="1"/>
  <c r="Y7" i="1"/>
  <c r="Y3" i="1"/>
  <c r="Z29" i="1"/>
  <c r="Z30" i="1"/>
  <c r="Z31" i="1"/>
  <c r="Z28" i="1"/>
  <c r="Z23" i="1"/>
  <c r="Z24" i="1"/>
  <c r="Z25" i="1"/>
  <c r="Z26" i="1"/>
  <c r="Z22" i="1"/>
  <c r="Z17" i="1"/>
  <c r="Z18" i="1"/>
  <c r="Z19" i="1"/>
  <c r="Z20" i="1"/>
  <c r="Z16" i="1"/>
  <c r="Z10" i="1"/>
  <c r="Z11" i="1"/>
  <c r="Z12" i="1"/>
  <c r="Z13" i="1"/>
  <c r="Z14" i="1"/>
  <c r="Z9" i="1"/>
  <c r="Z4" i="1"/>
  <c r="Z5" i="1"/>
  <c r="Z6" i="1"/>
  <c r="Z7" i="1"/>
  <c r="Z3" i="1"/>
  <c r="X29" i="1"/>
  <c r="X30" i="1"/>
  <c r="X31" i="1"/>
  <c r="X28" i="1"/>
  <c r="X23" i="1"/>
  <c r="X24" i="1"/>
  <c r="X25" i="1"/>
  <c r="X26" i="1"/>
  <c r="X22" i="1"/>
  <c r="X17" i="1"/>
  <c r="X18" i="1"/>
  <c r="X19" i="1"/>
  <c r="X20" i="1"/>
  <c r="X16" i="1"/>
  <c r="X10" i="1"/>
  <c r="X11" i="1"/>
  <c r="X12" i="1"/>
  <c r="X13" i="1"/>
  <c r="X14" i="1"/>
  <c r="X9" i="1"/>
  <c r="X4" i="1"/>
  <c r="X5" i="1"/>
  <c r="X6" i="1"/>
  <c r="X7" i="1"/>
  <c r="X3" i="1"/>
  <c r="W29" i="1"/>
  <c r="W30" i="1"/>
  <c r="W31" i="1"/>
  <c r="W28" i="1"/>
  <c r="W23" i="1"/>
  <c r="W24" i="1"/>
  <c r="W25" i="1"/>
  <c r="W26" i="1"/>
  <c r="W22" i="1"/>
  <c r="W17" i="1"/>
  <c r="W18" i="1"/>
  <c r="W19" i="1"/>
  <c r="W20" i="1"/>
  <c r="W16" i="1"/>
  <c r="W10" i="1"/>
  <c r="W11" i="1"/>
  <c r="W12" i="1"/>
  <c r="W13" i="1"/>
  <c r="W14" i="1"/>
  <c r="W9" i="1"/>
  <c r="W4" i="1"/>
  <c r="W5" i="1"/>
  <c r="W6" i="1"/>
  <c r="W7" i="1"/>
  <c r="W3" i="1"/>
  <c r="V29" i="1"/>
  <c r="V30" i="1"/>
  <c r="V31" i="1"/>
  <c r="V28" i="1"/>
  <c r="V23" i="1"/>
  <c r="V24" i="1"/>
  <c r="V25" i="1"/>
  <c r="V26" i="1"/>
  <c r="V22" i="1"/>
  <c r="V17" i="1"/>
  <c r="V18" i="1"/>
  <c r="V19" i="1"/>
  <c r="V20" i="1"/>
  <c r="V16" i="1"/>
  <c r="V10" i="1"/>
  <c r="V11" i="1"/>
  <c r="V12" i="1"/>
  <c r="V13" i="1"/>
  <c r="V14" i="1"/>
  <c r="V9" i="1"/>
  <c r="V4" i="1"/>
  <c r="V5" i="1"/>
  <c r="V6" i="1"/>
  <c r="V7" i="1"/>
  <c r="V3" i="1"/>
  <c r="U28" i="1"/>
  <c r="U29" i="1"/>
  <c r="U30" i="1"/>
  <c r="U31" i="1"/>
  <c r="U23" i="1"/>
  <c r="U24" i="1"/>
  <c r="U25" i="1"/>
  <c r="U26" i="1"/>
  <c r="U22" i="1"/>
  <c r="U17" i="1"/>
  <c r="U18" i="1"/>
  <c r="U19" i="1"/>
  <c r="U20" i="1"/>
  <c r="U16" i="1"/>
  <c r="U10" i="1"/>
  <c r="U11" i="1"/>
  <c r="U12" i="1"/>
  <c r="U13" i="1"/>
  <c r="U14" i="1"/>
  <c r="U9" i="1"/>
  <c r="U7" i="1"/>
  <c r="U4" i="1"/>
  <c r="U5" i="1"/>
  <c r="U6" i="1"/>
  <c r="U3" i="1"/>
  <c r="T29" i="1"/>
  <c r="T30" i="1"/>
  <c r="T31" i="1"/>
  <c r="T28" i="1"/>
  <c r="T23" i="1"/>
  <c r="T24" i="1"/>
  <c r="T25" i="1"/>
  <c r="T26" i="1"/>
  <c r="T22" i="1"/>
  <c r="T17" i="1"/>
  <c r="T18" i="1"/>
  <c r="T19" i="1"/>
  <c r="T20" i="1"/>
  <c r="T16" i="1"/>
  <c r="T10" i="1"/>
  <c r="T11" i="1"/>
  <c r="T12" i="1"/>
  <c r="T13" i="1"/>
  <c r="T14" i="1"/>
  <c r="T9" i="1"/>
  <c r="T4" i="1"/>
  <c r="T5" i="1"/>
  <c r="T6" i="1"/>
  <c r="T7" i="1"/>
  <c r="T3" i="1"/>
  <c r="S29" i="1"/>
  <c r="S22" i="1"/>
  <c r="S23" i="1"/>
  <c r="S24" i="1"/>
  <c r="S25" i="1"/>
  <c r="S26" i="1"/>
  <c r="S28" i="1"/>
  <c r="S30" i="1"/>
  <c r="S31" i="1"/>
  <c r="S16" i="1"/>
  <c r="S17" i="1"/>
  <c r="S18" i="1"/>
  <c r="S19" i="1"/>
  <c r="S20" i="1"/>
  <c r="S10" i="1"/>
  <c r="S11" i="1"/>
  <c r="S12" i="1"/>
  <c r="S13" i="1"/>
  <c r="S14" i="1"/>
  <c r="S5" i="1"/>
  <c r="S6" i="1"/>
  <c r="S7" i="1"/>
  <c r="S4" i="1"/>
  <c r="R3" i="1"/>
  <c r="R4" i="1"/>
  <c r="R5" i="1"/>
  <c r="R6" i="1"/>
  <c r="R7" i="1"/>
  <c r="R9" i="1"/>
  <c r="R10" i="1"/>
  <c r="R11" i="1"/>
  <c r="R12" i="1"/>
  <c r="R13" i="1"/>
  <c r="R14" i="1"/>
  <c r="R16" i="1"/>
  <c r="R17" i="1"/>
  <c r="R18" i="1"/>
  <c r="R19" i="1"/>
  <c r="R20" i="1"/>
  <c r="R22" i="1"/>
  <c r="R23" i="1"/>
  <c r="R24" i="1"/>
  <c r="R25" i="1"/>
  <c r="R26" i="1"/>
  <c r="R28" i="1"/>
  <c r="R29" i="1"/>
  <c r="R30" i="1"/>
  <c r="R31" i="1"/>
  <c r="R2" i="1"/>
  <c r="AM27" i="1" l="1"/>
  <c r="AN27" i="1" s="1"/>
  <c r="AJ20" i="1"/>
  <c r="AO27" i="1"/>
  <c r="AP27" i="1" s="1"/>
  <c r="AJ19" i="1"/>
  <c r="AI19" i="1"/>
  <c r="AI20" i="1"/>
</calcChain>
</file>

<file path=xl/sharedStrings.xml><?xml version="1.0" encoding="utf-8"?>
<sst xmlns="http://schemas.openxmlformats.org/spreadsheetml/2006/main" count="255" uniqueCount="125">
  <si>
    <t>Sample</t>
  </si>
  <si>
    <t>Description</t>
  </si>
  <si>
    <t>d13C</t>
  </si>
  <si>
    <t>cse</t>
  </si>
  <si>
    <t>dD</t>
  </si>
  <si>
    <t>dse</t>
  </si>
  <si>
    <t>D13CH3D</t>
  </si>
  <si>
    <t>cdse</t>
  </si>
  <si>
    <t>D12CH2D2</t>
  </si>
  <si>
    <t>ddse</t>
  </si>
  <si>
    <t>f</t>
  </si>
  <si>
    <t>fse</t>
  </si>
  <si>
    <t>label</t>
  </si>
  <si>
    <t>This study</t>
  </si>
  <si>
    <t>Radboud-CH4tank-B</t>
  </si>
  <si>
    <t>Radboud-NC10(R10)-CtrlC</t>
  </si>
  <si>
    <t>Radboud-NC10(R10)-T1B</t>
  </si>
  <si>
    <t>Radboud-NC10(R10)-T2B</t>
  </si>
  <si>
    <t>Radboud-NC10(R10)-T3C</t>
  </si>
  <si>
    <t>Radboud-NC10(R10)-T4A</t>
  </si>
  <si>
    <t>Radboud-NC10+ANME-CTRLB</t>
  </si>
  <si>
    <t>NC10+ANME T1B</t>
  </si>
  <si>
    <t>NC10+ANME T2C</t>
  </si>
  <si>
    <t>NC10+ANME T3C</t>
  </si>
  <si>
    <t>Radboud-NC10+ANME-T4B</t>
  </si>
  <si>
    <t>NC10+ANME T4A</t>
  </si>
  <si>
    <t>R17_ctrl1</t>
  </si>
  <si>
    <t>R17_T2_C2</t>
  </si>
  <si>
    <t>R17_T1_C2</t>
  </si>
  <si>
    <t>R17_T2_C1_rerun</t>
  </si>
  <si>
    <t>R17_T3_C2</t>
  </si>
  <si>
    <t>R66_Oct_ctrl1</t>
  </si>
  <si>
    <t>R66_Oct_T2_C3</t>
  </si>
  <si>
    <t>R66_Oct_T2_C2</t>
  </si>
  <si>
    <t>R66_Oct_T3_C1</t>
  </si>
  <si>
    <t>4o</t>
  </si>
  <si>
    <t>R66_Oct_T3_C2</t>
  </si>
  <si>
    <t>R66_BES_ctrl1</t>
  </si>
  <si>
    <t>R66_BES_T1_C1</t>
  </si>
  <si>
    <t>R66_BES_T3_C3</t>
  </si>
  <si>
    <t>R66_BES_T3_C1_refocus</t>
  </si>
  <si>
    <t>Li et al. 2024 GCA</t>
  </si>
  <si>
    <t>Mcaps_27C_Control_BC_AP_Dart</t>
  </si>
  <si>
    <t>P</t>
  </si>
  <si>
    <t>CH4_tank_gas_for_Mcaps_1_JL</t>
  </si>
  <si>
    <t>Mcaps_5uM_Cu_Ctrl2_Dartmouth</t>
  </si>
  <si>
    <t>Mcaps_5uM_Cu_T1_C3_Dartmouth</t>
  </si>
  <si>
    <t>Mcaps_37C_T1_C4_BC_JL_Dart</t>
  </si>
  <si>
    <t>Mcaps_5uM_Cu_T2_C1_Dartmouth</t>
  </si>
  <si>
    <t>Mcaps_37C_t1_C2_20211025_BC_WDL</t>
  </si>
  <si>
    <t>Mcaps_27C_T2_C2_BCAP_Dartmouth</t>
  </si>
  <si>
    <t>Mcaps_27C_T3_C3_BCAP_Dartmouth</t>
  </si>
  <si>
    <t>Mcaps_27C_T4_C1_BCAP_Dartmouth</t>
  </si>
  <si>
    <t>Mcaps_RT_t4_C2_20220114_JL_wdl</t>
  </si>
  <si>
    <t>Mcaps_room_temp_T3_C2_JL_BC_Dart</t>
  </si>
  <si>
    <t>Mcaps_room_temp_T5_C4_JL_BC_Dart</t>
  </si>
  <si>
    <t>Mcaps_room_temp_T4_C4_JL_BC_Dart</t>
  </si>
  <si>
    <t>Mcaps_21C_T5_C3_JL_Dartmouth</t>
  </si>
  <si>
    <t>Liu et al., 2023, GCA</t>
  </si>
  <si>
    <t>Experiment 1_High sulfate_Replicate 1_T0*</t>
  </si>
  <si>
    <t>AOM_P</t>
  </si>
  <si>
    <t>Experiment 1_High sulfate_Replicate 1_T1</t>
  </si>
  <si>
    <t>Experiment 1_High sulfate_Replicate 1_T2</t>
  </si>
  <si>
    <t>Experiment 1_High sulfate_Replicate 2_T0*</t>
  </si>
  <si>
    <t>Experiment 1_High sulfate_Replicate 2_T1</t>
  </si>
  <si>
    <t>Experiment 1_High sulfate_Replicate 2_T2</t>
  </si>
  <si>
    <t>Experiment 2_High sulfate_T0**</t>
  </si>
  <si>
    <t>Experiment 2_High sulfate_T1</t>
  </si>
  <si>
    <t>Experiment 2_High sulfate_T2</t>
  </si>
  <si>
    <t>Experiment 2_High sulfate_T3</t>
  </si>
  <si>
    <t>Krause et al., 2022</t>
  </si>
  <si>
    <t>P1</t>
  </si>
  <si>
    <t>Wang et al., 2016</t>
  </si>
  <si>
    <t>P2</t>
  </si>
  <si>
    <t>d13CH3D</t>
  </si>
  <si>
    <t>dcdse</t>
  </si>
  <si>
    <t>dddse</t>
  </si>
  <si>
    <t>d12CH2D2</t>
  </si>
  <si>
    <t>-lnf</t>
  </si>
  <si>
    <t>lnfse</t>
  </si>
  <si>
    <t>ln(c/c0)</t>
  </si>
  <si>
    <t>lncse</t>
  </si>
  <si>
    <t>lndse</t>
  </si>
  <si>
    <t>ln(cd/cd0)</t>
  </si>
  <si>
    <t>lncdse</t>
  </si>
  <si>
    <t>ln(d/d0)</t>
  </si>
  <si>
    <t>a13CD</t>
  </si>
  <si>
    <t>aDD</t>
  </si>
  <si>
    <t>a13</t>
  </si>
  <si>
    <t>aD</t>
  </si>
  <si>
    <t>gamma13CD</t>
  </si>
  <si>
    <t>ln(dd/dd0)</t>
  </si>
  <si>
    <t>gammaDD</t>
  </si>
  <si>
    <t>R17</t>
  </si>
  <si>
    <t>R66+Oct</t>
  </si>
  <si>
    <t>lnddse</t>
  </si>
  <si>
    <t>Rough estimate from linear regression</t>
  </si>
  <si>
    <t>More precise results with errors from York regression</t>
  </si>
  <si>
    <t>1se</t>
  </si>
  <si>
    <t>NC10 (pMMO)</t>
  </si>
  <si>
    <t>ANME-2d (nitrate-AOM, mcr)</t>
  </si>
  <si>
    <t>This study, no inhibitor</t>
  </si>
  <si>
    <t>NC10+ANME (pMMO+mcr)</t>
  </si>
  <si>
    <t>This study, with inhibitor</t>
  </si>
  <si>
    <t>Previous studies, aerobic oxidation</t>
  </si>
  <si>
    <t>Krause et al., 2022 (pMMO)</t>
  </si>
  <si>
    <t>Haghneghdar et al., 2017 (OH)</t>
  </si>
  <si>
    <t>Haghneghdar et al., 2017 (Cl)</t>
  </si>
  <si>
    <t>NC10+ANME-2d (pMMO inhibited)</t>
  </si>
  <si>
    <t>NC10+ANME-2d (mcr inhibited)</t>
  </si>
  <si>
    <t>Liu et al., 2023, high sulfate 1</t>
  </si>
  <si>
    <t>Liu et al., 2023, high sulfate 2</t>
  </si>
  <si>
    <t>Li et al., 2024 (pMMO, 27C)</t>
  </si>
  <si>
    <t>Li et al., 2024 (pMMO, 21C)</t>
  </si>
  <si>
    <t>Wegner et al., 2021</t>
  </si>
  <si>
    <t>Previous studies, sulfate-AOM, mcr</t>
  </si>
  <si>
    <t>Ono et al., 2021, B series</t>
  </si>
  <si>
    <t>Ono et al., 2021, C series</t>
  </si>
  <si>
    <t>n.m.</t>
  </si>
  <si>
    <t>Reduced Mass</t>
  </si>
  <si>
    <t>Liu et al., 2023</t>
  </si>
  <si>
    <t>-</t>
  </si>
  <si>
    <t>Label</t>
  </si>
  <si>
    <t>Wang et al., 2016 (pMMO, 37C)</t>
  </si>
  <si>
    <t>Wang et al., 2016 (pMMO, 30C)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</si>
</sst>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"/>
  </numFmts>
  <fonts count="2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quotePrefix="1"/>
    <xf numFmtId="0" fontId="0" fillId="33" borderId="0" xfId="0" applyFill="1"/>
    <xf numFmtId="172" fontId="18" fillId="0" borderId="0" xfId="0" applyNumberFormat="1" applyFont="1"/>
    <xf numFmtId="172" fontId="19" fillId="0" borderId="0" xfId="0" applyNumberFormat="1" applyFont="1"/>
    <xf numFmtId="172" fontId="0" fillId="0" borderId="0" xfId="0" applyNumberForma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R17</a:t>
            </a:r>
            <a:r>
              <a:rPr lang="zh-CN" altLang="en-US"/>
              <a:t> </a:t>
            </a:r>
            <a:r>
              <a:rPr lang="en-US" altLang="zh-CN"/>
              <a:t>fractionation</a:t>
            </a:r>
            <a:r>
              <a:rPr lang="zh-CN" altLang="en-US" baseline="0"/>
              <a:t> </a:t>
            </a:r>
            <a:r>
              <a:rPr lang="en-US" altLang="zh-CN" baseline="0"/>
              <a:t>factors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isotope_data!$R$16:$R$20</c:f>
              <c:numCache>
                <c:formatCode>General</c:formatCode>
                <c:ptCount val="5"/>
                <c:pt idx="0">
                  <c:v>0</c:v>
                </c:pt>
                <c:pt idx="1">
                  <c:v>0.30611396627248577</c:v>
                </c:pt>
                <c:pt idx="2">
                  <c:v>0.32103782000218861</c:v>
                </c:pt>
                <c:pt idx="3">
                  <c:v>0.58952490757094067</c:v>
                </c:pt>
                <c:pt idx="4">
                  <c:v>0.70908545880008278</c:v>
                </c:pt>
              </c:numCache>
            </c:numRef>
          </c:xVal>
          <c:yVal>
            <c:numRef>
              <c:f>isotope_data!$X$16:$X$20</c:f>
              <c:numCache>
                <c:formatCode>General</c:formatCode>
                <c:ptCount val="5"/>
                <c:pt idx="0">
                  <c:v>0</c:v>
                </c:pt>
                <c:pt idx="1">
                  <c:v>4.8934100930869882E-2</c:v>
                </c:pt>
                <c:pt idx="2">
                  <c:v>7.7672004552973947E-2</c:v>
                </c:pt>
                <c:pt idx="3">
                  <c:v>0.13530253687823732</c:v>
                </c:pt>
                <c:pt idx="4">
                  <c:v>0.18669369972792763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EF-A241-A23E-AE57769A4A7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982502187226598E-2"/>
                  <c:y val="-9.61508457276173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isotope_data!$R$16:$R$20</c:f>
              <c:numCache>
                <c:formatCode>General</c:formatCode>
                <c:ptCount val="5"/>
                <c:pt idx="0">
                  <c:v>0</c:v>
                </c:pt>
                <c:pt idx="1">
                  <c:v>0.30611396627248577</c:v>
                </c:pt>
                <c:pt idx="2">
                  <c:v>0.32103782000218861</c:v>
                </c:pt>
                <c:pt idx="3">
                  <c:v>0.58952490757094067</c:v>
                </c:pt>
                <c:pt idx="4">
                  <c:v>0.70908545880008278</c:v>
                </c:pt>
              </c:numCache>
            </c:numRef>
          </c:xVal>
          <c:yVal>
            <c:numRef>
              <c:f>isotope_data!$T$16:$T$20</c:f>
              <c:numCache>
                <c:formatCode>General</c:formatCode>
                <c:ptCount val="5"/>
                <c:pt idx="0">
                  <c:v>0</c:v>
                </c:pt>
                <c:pt idx="1">
                  <c:v>5.7159534194998075E-3</c:v>
                </c:pt>
                <c:pt idx="2">
                  <c:v>8.9763155062316524E-3</c:v>
                </c:pt>
                <c:pt idx="3">
                  <c:v>1.4771861759349036E-2</c:v>
                </c:pt>
                <c:pt idx="4">
                  <c:v>1.8591729693211184E-2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EF-A241-A23E-AE57769A4A78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064916885389325"/>
                  <c:y val="0.163646835812190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isotope_data!$R$16:$R$20</c:f>
              <c:numCache>
                <c:formatCode>General</c:formatCode>
                <c:ptCount val="5"/>
                <c:pt idx="0">
                  <c:v>0</c:v>
                </c:pt>
                <c:pt idx="1">
                  <c:v>0.30611396627248577</c:v>
                </c:pt>
                <c:pt idx="2">
                  <c:v>0.32103782000218861</c:v>
                </c:pt>
                <c:pt idx="3">
                  <c:v>0.58952490757094067</c:v>
                </c:pt>
                <c:pt idx="4">
                  <c:v>0.70908545880008278</c:v>
                </c:pt>
              </c:numCache>
            </c:numRef>
          </c:xVal>
          <c:yVal>
            <c:numRef>
              <c:f>isotope_data!$V$16:$V$20</c:f>
              <c:numCache>
                <c:formatCode>General</c:formatCode>
                <c:ptCount val="5"/>
                <c:pt idx="0">
                  <c:v>0</c:v>
                </c:pt>
                <c:pt idx="1">
                  <c:v>4.34272172386614E-2</c:v>
                </c:pt>
                <c:pt idx="2">
                  <c:v>6.9271628984375139E-2</c:v>
                </c:pt>
                <c:pt idx="3">
                  <c:v>0.12008016429532677</c:v>
                </c:pt>
                <c:pt idx="4">
                  <c:v>0.16745789525973623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EF-A241-A23E-AE57769A4A78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isotope_data!$R$16:$R$20</c:f>
              <c:numCache>
                <c:formatCode>General</c:formatCode>
                <c:ptCount val="5"/>
                <c:pt idx="0">
                  <c:v>0</c:v>
                </c:pt>
                <c:pt idx="1">
                  <c:v>0.30611396627248577</c:v>
                </c:pt>
                <c:pt idx="2">
                  <c:v>0.32103782000218861</c:v>
                </c:pt>
                <c:pt idx="3">
                  <c:v>0.58952490757094067</c:v>
                </c:pt>
                <c:pt idx="4">
                  <c:v>0.70908545880008278</c:v>
                </c:pt>
              </c:numCache>
            </c:numRef>
          </c:xVal>
          <c:yVal>
            <c:numRef>
              <c:f>isotope_data!$Z$16:$Z$20</c:f>
              <c:numCache>
                <c:formatCode>General</c:formatCode>
                <c:ptCount val="5"/>
                <c:pt idx="0">
                  <c:v>0</c:v>
                </c:pt>
                <c:pt idx="1">
                  <c:v>7.8543709094870739E-2</c:v>
                </c:pt>
                <c:pt idx="2">
                  <c:v>0.12719879121153083</c:v>
                </c:pt>
                <c:pt idx="3">
                  <c:v>0.22330729939386781</c:v>
                </c:pt>
                <c:pt idx="4">
                  <c:v>0.31438396824523301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8EF-A241-A23E-AE57769A4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1475295"/>
        <c:axId val="1711477023"/>
      </c:scatterChart>
      <c:valAx>
        <c:axId val="171147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77023"/>
        <c:crosses val="autoZero"/>
        <c:crossBetween val="midCat"/>
      </c:valAx>
      <c:valAx>
        <c:axId val="171147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75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R66+Oct</a:t>
            </a:r>
            <a:r>
              <a:rPr lang="zh-CN" altLang="en-US"/>
              <a:t> </a:t>
            </a:r>
            <a:r>
              <a:rPr lang="en-US" altLang="zh-CN"/>
              <a:t>fractionation</a:t>
            </a:r>
            <a:r>
              <a:rPr lang="zh-CN" altLang="en-US" baseline="0"/>
              <a:t> </a:t>
            </a:r>
            <a:r>
              <a:rPr lang="en-US" altLang="zh-CN" baseline="0"/>
              <a:t>factors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208956692913387"/>
                  <c:y val="-6.29124255809487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isotope_data!$R$22:$R$24</c:f>
              <c:numCache>
                <c:formatCode>General</c:formatCode>
                <c:ptCount val="3"/>
                <c:pt idx="0">
                  <c:v>0</c:v>
                </c:pt>
                <c:pt idx="1">
                  <c:v>0.21636040023854716</c:v>
                </c:pt>
                <c:pt idx="2">
                  <c:v>0.23764268254063728</c:v>
                </c:pt>
              </c:numCache>
            </c:numRef>
          </c:xVal>
          <c:yVal>
            <c:numRef>
              <c:f>isotope_data!$T$22:$T$24</c:f>
              <c:numCache>
                <c:formatCode>General</c:formatCode>
                <c:ptCount val="3"/>
                <c:pt idx="0">
                  <c:v>0</c:v>
                </c:pt>
                <c:pt idx="1">
                  <c:v>7.9983640314746675E-3</c:v>
                </c:pt>
                <c:pt idx="2">
                  <c:v>9.552168294967904E-3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CB-B44E-8E5B-A45B2E74C88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982502187226598E-2"/>
                  <c:y val="-9.61508457276173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isotope_data!$R$22:$R$24</c:f>
              <c:numCache>
                <c:formatCode>General</c:formatCode>
                <c:ptCount val="3"/>
                <c:pt idx="0">
                  <c:v>0</c:v>
                </c:pt>
                <c:pt idx="1">
                  <c:v>0.21636040023854716</c:v>
                </c:pt>
                <c:pt idx="2">
                  <c:v>0.23764268254063728</c:v>
                </c:pt>
              </c:numCache>
            </c:numRef>
          </c:xVal>
          <c:yVal>
            <c:numRef>
              <c:f>isotope_data!$V$22:$V$24</c:f>
              <c:numCache>
                <c:formatCode>General</c:formatCode>
                <c:ptCount val="3"/>
                <c:pt idx="0">
                  <c:v>0</c:v>
                </c:pt>
                <c:pt idx="1">
                  <c:v>6.7631023613452981E-2</c:v>
                </c:pt>
                <c:pt idx="2">
                  <c:v>7.6320709667451234E-2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CB-B44E-8E5B-A45B2E74C88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625623359580052"/>
                  <c:y val="0.105459477626272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isotope_data!$R$22:$R$24</c:f>
              <c:numCache>
                <c:formatCode>General</c:formatCode>
                <c:ptCount val="3"/>
                <c:pt idx="0">
                  <c:v>0</c:v>
                </c:pt>
                <c:pt idx="1">
                  <c:v>0.21636040023854716</c:v>
                </c:pt>
                <c:pt idx="2">
                  <c:v>0.23764268254063728</c:v>
                </c:pt>
              </c:numCache>
            </c:numRef>
          </c:xVal>
          <c:yVal>
            <c:numRef>
              <c:f>isotope_data!$X$22:$X$24</c:f>
              <c:numCache>
                <c:formatCode>General</c:formatCode>
                <c:ptCount val="3"/>
                <c:pt idx="0">
                  <c:v>0</c:v>
                </c:pt>
                <c:pt idx="1">
                  <c:v>7.494635761576604E-2</c:v>
                </c:pt>
                <c:pt idx="2">
                  <c:v>8.4871233155781878E-2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CB-B44E-8E5B-A45B2E74C881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isotope_data!$R$22:$R$24</c:f>
              <c:numCache>
                <c:formatCode>General</c:formatCode>
                <c:ptCount val="3"/>
                <c:pt idx="0">
                  <c:v>0</c:v>
                </c:pt>
                <c:pt idx="1">
                  <c:v>0.21636040023854716</c:v>
                </c:pt>
                <c:pt idx="2">
                  <c:v>0.23764268254063728</c:v>
                </c:pt>
              </c:numCache>
            </c:numRef>
          </c:xVal>
          <c:yVal>
            <c:numRef>
              <c:f>isotope_data!$Z$22:$Z$24</c:f>
              <c:numCache>
                <c:formatCode>General</c:formatCode>
                <c:ptCount val="3"/>
                <c:pt idx="0">
                  <c:v>0</c:v>
                </c:pt>
                <c:pt idx="1">
                  <c:v>0.12481890579372579</c:v>
                </c:pt>
                <c:pt idx="2">
                  <c:v>0.14379807757750526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ACB-B44E-8E5B-A45B2E74C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1475295"/>
        <c:axId val="1711477023"/>
      </c:scatterChart>
      <c:valAx>
        <c:axId val="171147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77023"/>
        <c:crosses val="autoZero"/>
        <c:crossBetween val="midCat"/>
      </c:valAx>
      <c:valAx>
        <c:axId val="171147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75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349250</xdr:colOff>
      <xdr:row>1</xdr:row>
      <xdr:rowOff>139700</xdr:rowOff>
    </xdr:from>
    <xdr:to>
      <xdr:col>35</xdr:col>
      <xdr:colOff>793750</xdr:colOff>
      <xdr:row>15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248DDE-31C3-5226-5268-77DD21A30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419100</xdr:colOff>
      <xdr:row>1</xdr:row>
      <xdr:rowOff>114300</xdr:rowOff>
    </xdr:from>
    <xdr:to>
      <xdr:col>43</xdr:col>
      <xdr:colOff>736600</xdr:colOff>
      <xdr:row>22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7CD889-BC96-194C-B8B6-D0A1362F5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D985-0C54-1749-BB81-1D63D529264E}">
  <dimension ref="A1:AQ80"/>
  <sheetViews>
    <sheetView tabSelected="1" topLeftCell="AB23" workbookViewId="0">
      <selection activeCell="AG50" sqref="AG50"/>
    </sheetView>
  </sheetViews>
  <sheetFormatPr baseColWidth="10" defaultRowHeight="16"/>
  <cols>
    <col min="2" max="2" width="27.83203125" customWidth="1"/>
    <col min="21" max="21" width="12.1640625" bestFit="1" customWidth="1"/>
    <col min="23" max="23" width="12.1640625" bestFit="1" customWidth="1"/>
    <col min="30" max="30" width="32.1640625" customWidth="1"/>
    <col min="31" max="33" width="12.6640625" bestFit="1" customWidth="1"/>
    <col min="34" max="34" width="13.1640625" bestFit="1" customWidth="1"/>
    <col min="35" max="42" width="12.6640625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74</v>
      </c>
      <c r="L1" t="s">
        <v>75</v>
      </c>
      <c r="M1" t="s">
        <v>77</v>
      </c>
      <c r="N1" t="s">
        <v>76</v>
      </c>
      <c r="O1" t="s">
        <v>10</v>
      </c>
      <c r="P1" t="s">
        <v>11</v>
      </c>
      <c r="Q1" t="s">
        <v>12</v>
      </c>
      <c r="R1" s="1" t="s">
        <v>78</v>
      </c>
      <c r="S1" t="s">
        <v>79</v>
      </c>
      <c r="T1" t="s">
        <v>80</v>
      </c>
      <c r="U1" t="s">
        <v>81</v>
      </c>
      <c r="V1" t="s">
        <v>85</v>
      </c>
      <c r="W1" t="s">
        <v>82</v>
      </c>
      <c r="X1" t="s">
        <v>83</v>
      </c>
      <c r="Y1" t="s">
        <v>84</v>
      </c>
      <c r="Z1" t="s">
        <v>91</v>
      </c>
      <c r="AA1" t="s">
        <v>95</v>
      </c>
    </row>
    <row r="2" spans="1:27">
      <c r="A2" t="s">
        <v>13</v>
      </c>
      <c r="B2" t="s">
        <v>14</v>
      </c>
      <c r="C2">
        <v>-41.107999999999997</v>
      </c>
      <c r="D2">
        <v>0.03</v>
      </c>
      <c r="E2">
        <v>-169.12</v>
      </c>
      <c r="F2">
        <v>3.1E-2</v>
      </c>
      <c r="G2">
        <v>3.1309999999999998</v>
      </c>
      <c r="H2">
        <v>0.151</v>
      </c>
      <c r="I2">
        <v>7.0380000000000003</v>
      </c>
      <c r="J2">
        <v>0.71</v>
      </c>
      <c r="K2">
        <v>-118.262</v>
      </c>
      <c r="L2">
        <v>0.126</v>
      </c>
      <c r="M2">
        <v>-214.005</v>
      </c>
      <c r="N2">
        <v>0.55500000000000005</v>
      </c>
      <c r="O2">
        <v>1</v>
      </c>
      <c r="Q2">
        <v>0</v>
      </c>
      <c r="R2">
        <f>-LN(O2)</f>
        <v>0</v>
      </c>
      <c r="S2">
        <v>0</v>
      </c>
    </row>
    <row r="3" spans="1:27">
      <c r="A3" t="s">
        <v>13</v>
      </c>
      <c r="B3" t="s">
        <v>15</v>
      </c>
      <c r="C3">
        <v>-41.097999999999999</v>
      </c>
      <c r="D3">
        <v>0.04</v>
      </c>
      <c r="E3">
        <v>-168.93199999999999</v>
      </c>
      <c r="F3">
        <v>3.2000000000000001E-2</v>
      </c>
      <c r="G3">
        <v>2.4950000000000001</v>
      </c>
      <c r="H3">
        <v>0.13700000000000001</v>
      </c>
      <c r="I3">
        <v>7.7220000000000004</v>
      </c>
      <c r="J3">
        <v>0.79100000000000004</v>
      </c>
      <c r="K3">
        <v>-118.61199999999999</v>
      </c>
      <c r="L3">
        <v>0.111</v>
      </c>
      <c r="M3">
        <v>-213.11500000000001</v>
      </c>
      <c r="N3">
        <v>0.61899999999999999</v>
      </c>
      <c r="O3">
        <v>1</v>
      </c>
      <c r="Q3">
        <v>1</v>
      </c>
      <c r="R3">
        <f t="shared" ref="R3:R31" si="0">-LN(O3)</f>
        <v>0</v>
      </c>
      <c r="S3">
        <v>0</v>
      </c>
      <c r="T3">
        <f>LN((C3+1000)/($C$3+1000))</f>
        <v>0</v>
      </c>
      <c r="U3">
        <f>SQRT((D3/(C3+1000))^2+($D$3/($C$3+1000))^2)</f>
        <v>5.8993038386533558E-5</v>
      </c>
      <c r="V3">
        <f>LN((E3+1000)/($E$3+1000))</f>
        <v>0</v>
      </c>
      <c r="W3">
        <f>SQRT((F3/(E3+1000))^2+($F$3/($E$3+1000))^2)</f>
        <v>5.4453828081383285E-5</v>
      </c>
      <c r="X3">
        <f>LN((K3+1000)/($K$3+1000))</f>
        <v>0</v>
      </c>
      <c r="Y3">
        <f>SQRT((L3/(K3+1000))^2+($L$3/($K$3+1000))^2)</f>
        <v>1.78102839411716E-4</v>
      </c>
      <c r="Z3">
        <f>LN((M3+1000)/($M$3+1000))</f>
        <v>0</v>
      </c>
      <c r="AA3">
        <f>SQRT((N3/(M3+1000))^2+($N$3/($M$3+1000))^2)</f>
        <v>1.1124855539360208E-3</v>
      </c>
    </row>
    <row r="4" spans="1:27">
      <c r="A4" t="s">
        <v>13</v>
      </c>
      <c r="B4" t="s">
        <v>16</v>
      </c>
      <c r="C4">
        <v>-35.813000000000002</v>
      </c>
      <c r="D4">
        <v>2.1000000000000001E-2</v>
      </c>
      <c r="E4">
        <v>-120.818</v>
      </c>
      <c r="F4">
        <v>3.2000000000000001E-2</v>
      </c>
      <c r="G4">
        <v>1.329</v>
      </c>
      <c r="H4">
        <v>0.151</v>
      </c>
      <c r="I4">
        <v>4.1550000000000002</v>
      </c>
      <c r="J4">
        <v>0.86</v>
      </c>
      <c r="K4">
        <v>-63.536999999999999</v>
      </c>
      <c r="L4">
        <v>0.13600000000000001</v>
      </c>
      <c r="M4">
        <v>-122.483</v>
      </c>
      <c r="N4">
        <v>0.752</v>
      </c>
      <c r="O4">
        <v>0.85862285599999999</v>
      </c>
      <c r="P4">
        <v>2.1832109999999998E-2</v>
      </c>
      <c r="Q4">
        <v>1</v>
      </c>
      <c r="R4">
        <f t="shared" si="0"/>
        <v>0.15242550346678616</v>
      </c>
      <c r="S4">
        <f>P4/O4</f>
        <v>2.5426891268312567E-2</v>
      </c>
      <c r="T4">
        <f t="shared" ref="T4:T7" si="1">LN((C4+1000)/($C$3+1000))</f>
        <v>5.4963793200028862E-3</v>
      </c>
      <c r="U4">
        <f t="shared" ref="U4:U6" si="2">SQRT((D4/(C4+1000))^2+($D$3/($C$3+1000))^2)</f>
        <v>4.7058028131320884E-5</v>
      </c>
      <c r="V4">
        <f t="shared" ref="V4:V7" si="3">LN((E4+1000)/($E$3+1000))</f>
        <v>5.6280309093249388E-2</v>
      </c>
      <c r="W4">
        <f t="shared" ref="W4:W7" si="4">SQRT((F4/(E4+1000))^2+($F$3/($E$3+1000))^2)</f>
        <v>5.2984766488889252E-5</v>
      </c>
      <c r="X4">
        <f t="shared" ref="X4:X7" si="5">LN((K4+1000)/($K$3+1000))</f>
        <v>6.0612074682927307E-2</v>
      </c>
      <c r="Y4">
        <f>SQRT((L4/(K4+1000))^2+($L$3/($K$3+1000))^2)</f>
        <v>1.9222716126318258E-4</v>
      </c>
      <c r="Z4">
        <f t="shared" ref="Z4:Z7" si="6">LN((M4+1000)/($M$3+1000))</f>
        <v>0.10901421515506791</v>
      </c>
      <c r="AA4">
        <f t="shared" ref="AA4:AA31" si="7">SQRT((N4/(M4+1000))^2+($N$3/($M$3+1000))^2)</f>
        <v>1.1632705690370795E-3</v>
      </c>
    </row>
    <row r="5" spans="1:27">
      <c r="A5" t="s">
        <v>13</v>
      </c>
      <c r="B5" t="s">
        <v>17</v>
      </c>
      <c r="C5">
        <v>-33.463999999999999</v>
      </c>
      <c r="D5">
        <v>3.3000000000000002E-2</v>
      </c>
      <c r="E5">
        <v>-102.587</v>
      </c>
      <c r="F5">
        <v>5.7000000000000002E-2</v>
      </c>
      <c r="G5">
        <v>0.309</v>
      </c>
      <c r="H5">
        <v>0.17</v>
      </c>
      <c r="I5">
        <v>-0.28599999999999998</v>
      </c>
      <c r="J5">
        <v>0.7</v>
      </c>
      <c r="K5">
        <v>-42.765000000000001</v>
      </c>
      <c r="L5">
        <v>0.14899999999999999</v>
      </c>
      <c r="M5">
        <v>-89.756</v>
      </c>
      <c r="N5">
        <v>0.627</v>
      </c>
      <c r="O5">
        <v>0.73980411599999996</v>
      </c>
      <c r="P5">
        <v>2.4114677000000001E-2</v>
      </c>
      <c r="Q5">
        <v>1</v>
      </c>
      <c r="R5">
        <f t="shared" si="0"/>
        <v>0.30136983593340499</v>
      </c>
      <c r="S5">
        <f t="shared" ref="S5:S31" si="8">P5/O5</f>
        <v>3.2596029784727504E-2</v>
      </c>
      <c r="T5">
        <f t="shared" si="1"/>
        <v>7.929665875363711E-3</v>
      </c>
      <c r="U5">
        <f t="shared" si="2"/>
        <v>5.3905498306361743E-5</v>
      </c>
      <c r="V5">
        <f t="shared" si="3"/>
        <v>7.6804559101526518E-2</v>
      </c>
      <c r="W5">
        <f t="shared" si="4"/>
        <v>7.4275702935622527E-5</v>
      </c>
      <c r="X5">
        <f t="shared" si="5"/>
        <v>8.2550982735605155E-2</v>
      </c>
      <c r="Y5">
        <f t="shared" ref="Y5:Y31" si="9">SQRT((L5/(K5+1000))^2+($L$3/($K$3+1000))^2)</f>
        <v>2.0022313939966076E-4</v>
      </c>
      <c r="Z5">
        <f t="shared" si="6"/>
        <v>0.14563058222143477</v>
      </c>
      <c r="AA5">
        <f t="shared" si="7"/>
        <v>1.0456068646555157E-3</v>
      </c>
    </row>
    <row r="6" spans="1:27">
      <c r="A6" t="s">
        <v>13</v>
      </c>
      <c r="B6" t="s">
        <v>18</v>
      </c>
      <c r="C6">
        <v>-30.751999999999999</v>
      </c>
      <c r="D6">
        <v>5.0000000000000001E-3</v>
      </c>
      <c r="E6">
        <v>-81.771000000000001</v>
      </c>
      <c r="F6">
        <v>3.1E-2</v>
      </c>
      <c r="G6">
        <v>5.1999999999999998E-2</v>
      </c>
      <c r="H6">
        <v>0.14299999999999999</v>
      </c>
      <c r="I6">
        <v>-4.5949999999999998</v>
      </c>
      <c r="J6">
        <v>0.622</v>
      </c>
      <c r="K6">
        <v>-18.065000000000001</v>
      </c>
      <c r="L6">
        <v>0.13700000000000001</v>
      </c>
      <c r="M6">
        <v>-51.146000000000001</v>
      </c>
      <c r="N6">
        <v>0.58699999999999997</v>
      </c>
      <c r="O6">
        <v>0.66009613199999995</v>
      </c>
      <c r="P6">
        <v>2.4584023999999999E-2</v>
      </c>
      <c r="Q6">
        <v>1</v>
      </c>
      <c r="R6">
        <f t="shared" si="0"/>
        <v>0.41536980002280477</v>
      </c>
      <c r="S6">
        <f t="shared" si="8"/>
        <v>3.724309658581669E-2</v>
      </c>
      <c r="T6">
        <f t="shared" si="1"/>
        <v>1.0731633217102765E-2</v>
      </c>
      <c r="U6">
        <f t="shared" si="2"/>
        <v>4.2032140555665549E-5</v>
      </c>
      <c r="V6">
        <f t="shared" si="3"/>
        <v>9.9735194220203188E-2</v>
      </c>
      <c r="W6">
        <f t="shared" si="4"/>
        <v>5.1209282407393339E-5</v>
      </c>
      <c r="X6">
        <f t="shared" si="5"/>
        <v>0.10802717710636134</v>
      </c>
      <c r="Y6">
        <f>SQRT((L6/(K6+1000))^2+($L$3/($K$3+1000))^2)</f>
        <v>1.8795282109371601E-4</v>
      </c>
      <c r="Z6">
        <f t="shared" si="6"/>
        <v>0.18717282740388039</v>
      </c>
      <c r="AA6">
        <f t="shared" si="7"/>
        <v>1.0007640866612863E-3</v>
      </c>
    </row>
    <row r="7" spans="1:27">
      <c r="A7" t="s">
        <v>13</v>
      </c>
      <c r="B7" t="s">
        <v>19</v>
      </c>
      <c r="C7">
        <v>-27.158000000000001</v>
      </c>
      <c r="D7">
        <v>1.4E-2</v>
      </c>
      <c r="E7">
        <v>-52.896999999999998</v>
      </c>
      <c r="F7">
        <v>2.7E-2</v>
      </c>
      <c r="G7">
        <v>-0.41299999999999998</v>
      </c>
      <c r="H7">
        <v>0.17399999999999999</v>
      </c>
      <c r="I7">
        <v>-7.8689999999999998</v>
      </c>
      <c r="J7">
        <v>0.57699999999999996</v>
      </c>
      <c r="K7">
        <v>16.094000000000001</v>
      </c>
      <c r="L7">
        <v>0.17399999999999999</v>
      </c>
      <c r="M7">
        <v>6.1449999999999996</v>
      </c>
      <c r="N7">
        <v>0.57799999999999996</v>
      </c>
      <c r="O7">
        <v>0.53163802000000004</v>
      </c>
      <c r="P7">
        <v>1.1676138000000001E-2</v>
      </c>
      <c r="Q7">
        <v>1</v>
      </c>
      <c r="R7">
        <f t="shared" si="0"/>
        <v>0.63179243476067126</v>
      </c>
      <c r="S7">
        <f t="shared" si="8"/>
        <v>2.1962571450401536E-2</v>
      </c>
      <c r="T7">
        <f t="shared" si="1"/>
        <v>1.4432804741337795E-2</v>
      </c>
      <c r="U7">
        <f>SQRT((D7/(C7+1000))^2+($D$3/($C$3+1000))^2)</f>
        <v>4.4126921074931601E-5</v>
      </c>
      <c r="V7">
        <f t="shared" si="3"/>
        <v>0.13069623116201354</v>
      </c>
      <c r="W7">
        <f t="shared" si="4"/>
        <v>4.790944602527351E-5</v>
      </c>
      <c r="X7">
        <f t="shared" si="5"/>
        <v>0.14222320593245893</v>
      </c>
      <c r="Y7">
        <f t="shared" si="9"/>
        <v>2.1256720801611541E-4</v>
      </c>
      <c r="Z7">
        <f t="shared" si="6"/>
        <v>0.24579936224540508</v>
      </c>
      <c r="AA7">
        <f t="shared" si="7"/>
        <v>9.7407787154826211E-4</v>
      </c>
    </row>
    <row r="9" spans="1:27">
      <c r="A9" t="s">
        <v>13</v>
      </c>
      <c r="B9" t="s">
        <v>20</v>
      </c>
      <c r="C9">
        <v>-41.381</v>
      </c>
      <c r="D9">
        <v>1.0999999999999999E-2</v>
      </c>
      <c r="E9">
        <v>-169.49700000000001</v>
      </c>
      <c r="F9">
        <v>5.0999999999999997E-2</v>
      </c>
      <c r="G9">
        <v>3.1269999999999998</v>
      </c>
      <c r="H9">
        <v>0.193</v>
      </c>
      <c r="I9">
        <v>8.2859999999999996</v>
      </c>
      <c r="J9">
        <v>0.65700000000000003</v>
      </c>
      <c r="K9">
        <v>-118.917</v>
      </c>
      <c r="L9">
        <v>0.161</v>
      </c>
      <c r="M9">
        <v>-213.74600000000001</v>
      </c>
      <c r="N9">
        <v>0.50800000000000001</v>
      </c>
      <c r="O9">
        <v>1</v>
      </c>
      <c r="Q9">
        <v>2</v>
      </c>
      <c r="R9">
        <f t="shared" si="0"/>
        <v>0</v>
      </c>
      <c r="S9">
        <v>0</v>
      </c>
      <c r="T9">
        <f>LN((C9+1000)/($C$9+1000))</f>
        <v>0</v>
      </c>
      <c r="U9">
        <f>SQRT((D9/(C9+1000))^2+($D$9/($C$9+1000))^2)</f>
        <v>1.6227874876362815E-5</v>
      </c>
      <c r="V9">
        <f>LN((E9+1000)/($E$9+1000))</f>
        <v>0</v>
      </c>
      <c r="W9">
        <f>SQRT((F9/(E9+1000))^2+($F$9/($E$9+1000))^2)</f>
        <v>8.6844829797156481E-5</v>
      </c>
      <c r="X9">
        <f>LN((K9+1000)/($K$9+1000))</f>
        <v>0</v>
      </c>
      <c r="Y9">
        <f>SQRT((L9/(K9+1000))^2+($L$9/($K$9+1000))^2)</f>
        <v>2.5841876820012223E-4</v>
      </c>
      <c r="Z9">
        <f>LN((M9+1000)/($M$9+1000))</f>
        <v>0</v>
      </c>
      <c r="AA9">
        <f>SQRT((N9/(M9+1000))^2+($N$9/($M$9+1000))^2)</f>
        <v>9.1372570401617326E-4</v>
      </c>
    </row>
    <row r="10" spans="1:27">
      <c r="A10" t="s">
        <v>13</v>
      </c>
      <c r="B10" t="s">
        <v>21</v>
      </c>
      <c r="C10">
        <v>-38.148000000000003</v>
      </c>
      <c r="D10">
        <v>1.0999999999999999E-2</v>
      </c>
      <c r="E10">
        <v>-146.56299999999999</v>
      </c>
      <c r="F10">
        <v>3.3000000000000002E-2</v>
      </c>
      <c r="G10">
        <v>2.7869999999999999</v>
      </c>
      <c r="H10">
        <v>0.155</v>
      </c>
      <c r="I10">
        <v>1.5129999999999999</v>
      </c>
      <c r="J10">
        <v>0.71099999999999997</v>
      </c>
      <c r="K10">
        <v>-91.840999999999994</v>
      </c>
      <c r="L10">
        <v>0.13600000000000001</v>
      </c>
      <c r="M10">
        <v>-175.29900000000001</v>
      </c>
      <c r="N10">
        <v>0.58299999999999996</v>
      </c>
      <c r="O10">
        <v>0.80846907999999995</v>
      </c>
      <c r="P10">
        <v>2.1832112000000001E-2</v>
      </c>
      <c r="Q10">
        <v>2</v>
      </c>
      <c r="R10">
        <f t="shared" si="0"/>
        <v>0.21261284435738384</v>
      </c>
      <c r="S10">
        <f t="shared" si="8"/>
        <v>2.7004263415986177E-2</v>
      </c>
      <c r="T10">
        <f t="shared" ref="T10:T14" si="10">LN((C10+1000)/($C$9+1000))</f>
        <v>3.366885575553868E-3</v>
      </c>
      <c r="U10">
        <f t="shared" ref="U10:U14" si="11">SQRT((D10/(C10+1000))^2+($D$9/($C$9+1000))^2)</f>
        <v>1.6200625071366057E-5</v>
      </c>
      <c r="V10">
        <f t="shared" ref="V10:V14" si="12">LN((E10+1000)/($E$9+1000))</f>
        <v>2.7240184473286109E-2</v>
      </c>
      <c r="W10">
        <f t="shared" ref="W10:W14" si="13">SQRT((F10/(E10+1000))^2+($F$9/($E$9+1000))^2)</f>
        <v>7.2568332282897866E-5</v>
      </c>
      <c r="X10">
        <f t="shared" ref="X10:X14" si="14">LN((K10+1000)/($K$9+1000))</f>
        <v>3.0267640781148911E-2</v>
      </c>
      <c r="Y10">
        <f t="shared" ref="Y10:Y14" si="15">SQRT((L10/(K10+1000))^2+($L$9/($K$9+1000))^2)</f>
        <v>2.3625461759054235E-4</v>
      </c>
      <c r="Z10">
        <f t="shared" ref="Z10:Z14" si="16">LN((M10+1000)/($M$9+1000))</f>
        <v>4.7741000958627447E-2</v>
      </c>
      <c r="AA10">
        <f t="shared" ref="AA10:AA14" si="17">SQRT((N10/(M10+1000))^2+($N$9/($M$9+1000))^2)</f>
        <v>9.5769895007263893E-4</v>
      </c>
    </row>
    <row r="11" spans="1:27">
      <c r="A11" t="s">
        <v>13</v>
      </c>
      <c r="B11" t="s">
        <v>22</v>
      </c>
      <c r="C11">
        <v>-34.78</v>
      </c>
      <c r="D11">
        <v>5.0000000000000001E-3</v>
      </c>
      <c r="E11">
        <v>-118.821</v>
      </c>
      <c r="F11">
        <v>2.8000000000000001E-2</v>
      </c>
      <c r="G11">
        <v>2.0979999999999999</v>
      </c>
      <c r="H11">
        <v>0.11799999999999999</v>
      </c>
      <c r="I11">
        <v>2.96</v>
      </c>
      <c r="J11">
        <v>0.78600000000000003</v>
      </c>
      <c r="K11">
        <v>-59.682000000000002</v>
      </c>
      <c r="L11">
        <v>0.107</v>
      </c>
      <c r="M11">
        <v>-119.54</v>
      </c>
      <c r="N11">
        <v>0.68899999999999995</v>
      </c>
      <c r="O11">
        <v>0.74081357199999998</v>
      </c>
      <c r="P11">
        <v>2.7656626E-2</v>
      </c>
      <c r="Q11">
        <v>2</v>
      </c>
      <c r="R11">
        <f t="shared" si="0"/>
        <v>0.3000062750836488</v>
      </c>
      <c r="S11">
        <f t="shared" si="8"/>
        <v>3.7332774459483041E-2</v>
      </c>
      <c r="T11">
        <f t="shared" si="10"/>
        <v>6.8623475294984975E-3</v>
      </c>
      <c r="U11">
        <f t="shared" si="11"/>
        <v>1.258991990248838E-5</v>
      </c>
      <c r="V11">
        <f t="shared" si="12"/>
        <v>5.9229242176283364E-2</v>
      </c>
      <c r="W11">
        <f t="shared" si="13"/>
        <v>6.9142617859822844E-5</v>
      </c>
      <c r="X11">
        <f t="shared" si="14"/>
        <v>6.5066283304253791E-2</v>
      </c>
      <c r="Y11">
        <f t="shared" si="15"/>
        <v>2.152639960309976E-4</v>
      </c>
      <c r="Z11">
        <f t="shared" si="16"/>
        <v>0.1131646027285797</v>
      </c>
      <c r="AA11">
        <f t="shared" si="17"/>
        <v>1.0148028238190856E-3</v>
      </c>
    </row>
    <row r="12" spans="1:27">
      <c r="A12" t="s">
        <v>13</v>
      </c>
      <c r="B12" t="s">
        <v>23</v>
      </c>
      <c r="C12">
        <v>-31.212</v>
      </c>
      <c r="D12">
        <v>3.6999999999999998E-2</v>
      </c>
      <c r="E12">
        <v>-93.703999999999994</v>
      </c>
      <c r="F12">
        <v>3.3000000000000002E-2</v>
      </c>
      <c r="G12">
        <v>0.89800000000000002</v>
      </c>
      <c r="H12">
        <v>0.158</v>
      </c>
      <c r="I12">
        <v>-4.4859999999999998</v>
      </c>
      <c r="J12">
        <v>0.63500000000000001</v>
      </c>
      <c r="K12">
        <v>-30.466999999999999</v>
      </c>
      <c r="L12">
        <v>0.14499999999999999</v>
      </c>
      <c r="M12">
        <v>-73.926000000000002</v>
      </c>
      <c r="N12">
        <v>1.0569999999999999</v>
      </c>
      <c r="O12">
        <v>0.64930717999999998</v>
      </c>
      <c r="P12">
        <v>2.4584023999999999E-2</v>
      </c>
      <c r="Q12">
        <v>2</v>
      </c>
      <c r="R12">
        <f t="shared" si="0"/>
        <v>0.43184936146630704</v>
      </c>
      <c r="S12">
        <f t="shared" si="8"/>
        <v>3.7861931543710946E-2</v>
      </c>
      <c r="T12">
        <f t="shared" si="10"/>
        <v>1.0552098603923619E-2</v>
      </c>
      <c r="U12">
        <f t="shared" si="11"/>
        <v>3.9878624168423029E-5</v>
      </c>
      <c r="V12">
        <f t="shared" si="12"/>
        <v>8.7334422172815798E-2</v>
      </c>
      <c r="W12">
        <f t="shared" si="13"/>
        <v>7.13921701689801E-5</v>
      </c>
      <c r="X12">
        <f t="shared" si="14"/>
        <v>9.5662679645110105E-2</v>
      </c>
      <c r="Y12">
        <f t="shared" si="15"/>
        <v>2.3612981230550741E-4</v>
      </c>
      <c r="Z12">
        <f t="shared" si="16"/>
        <v>0.16367424961807772</v>
      </c>
      <c r="AA12">
        <f t="shared" si="17"/>
        <v>1.3115600871488533E-3</v>
      </c>
    </row>
    <row r="13" spans="1:27">
      <c r="A13" t="s">
        <v>13</v>
      </c>
      <c r="B13" t="s">
        <v>24</v>
      </c>
      <c r="C13">
        <v>-26.353999999999999</v>
      </c>
      <c r="D13">
        <v>2.9000000000000001E-2</v>
      </c>
      <c r="E13">
        <v>-50.933</v>
      </c>
      <c r="F13">
        <v>6.0999999999999999E-2</v>
      </c>
      <c r="G13">
        <v>0.157</v>
      </c>
      <c r="H13">
        <v>0.221</v>
      </c>
      <c r="I13">
        <v>-6.2919999999999998</v>
      </c>
      <c r="J13">
        <v>0.76300000000000001</v>
      </c>
      <c r="K13">
        <v>19.625</v>
      </c>
      <c r="L13">
        <v>0.215</v>
      </c>
      <c r="M13">
        <v>11.929</v>
      </c>
      <c r="N13">
        <v>0.76200000000000001</v>
      </c>
      <c r="O13">
        <v>0.52767827899999997</v>
      </c>
      <c r="P13">
        <v>1.4205453999999999E-2</v>
      </c>
      <c r="Q13">
        <v>2</v>
      </c>
      <c r="R13">
        <f t="shared" si="0"/>
        <v>0.63926850106255262</v>
      </c>
      <c r="S13">
        <f t="shared" si="8"/>
        <v>2.6920672245445979E-2</v>
      </c>
      <c r="T13">
        <f t="shared" si="10"/>
        <v>1.5554080785923283E-2</v>
      </c>
      <c r="U13">
        <f t="shared" si="11"/>
        <v>3.1918887282973651E-5</v>
      </c>
      <c r="V13">
        <f t="shared" si="12"/>
        <v>0.13344785542148174</v>
      </c>
      <c r="W13">
        <f t="shared" si="13"/>
        <v>8.8893837191193883E-5</v>
      </c>
      <c r="X13">
        <f t="shared" si="14"/>
        <v>0.14603835899843109</v>
      </c>
      <c r="Y13">
        <f t="shared" si="15"/>
        <v>2.7902122491685083E-4</v>
      </c>
      <c r="Z13">
        <f t="shared" si="16"/>
        <v>0.25233379384135823</v>
      </c>
      <c r="AA13">
        <f t="shared" si="17"/>
        <v>9.9221082469399874E-4</v>
      </c>
    </row>
    <row r="14" spans="1:27">
      <c r="A14" t="s">
        <v>13</v>
      </c>
      <c r="B14" t="s">
        <v>25</v>
      </c>
      <c r="C14">
        <v>-24.629000000000001</v>
      </c>
      <c r="D14">
        <v>6.0000000000000001E-3</v>
      </c>
      <c r="E14">
        <v>-22.204000000000001</v>
      </c>
      <c r="F14">
        <v>2.8000000000000001E-2</v>
      </c>
      <c r="G14">
        <v>1.7</v>
      </c>
      <c r="H14">
        <v>0.128</v>
      </c>
      <c r="I14">
        <v>-5.7510000000000003</v>
      </c>
      <c r="J14">
        <v>0.64400000000000002</v>
      </c>
      <c r="K14">
        <v>53.973999999999997</v>
      </c>
      <c r="L14">
        <v>0.13100000000000001</v>
      </c>
      <c r="M14">
        <v>74.704999999999998</v>
      </c>
      <c r="N14">
        <v>0.68899999999999995</v>
      </c>
      <c r="O14">
        <v>0.42939149700000001</v>
      </c>
      <c r="P14">
        <v>1.1676138000000001E-2</v>
      </c>
      <c r="Q14">
        <v>2</v>
      </c>
      <c r="R14">
        <f t="shared" si="0"/>
        <v>0.84538619578289076</v>
      </c>
      <c r="S14">
        <f t="shared" si="8"/>
        <v>2.7192289743921037E-2</v>
      </c>
      <c r="T14">
        <f t="shared" si="10"/>
        <v>1.7324204340943335E-2</v>
      </c>
      <c r="U14">
        <f t="shared" si="11"/>
        <v>1.3019715070687696E-5</v>
      </c>
      <c r="V14">
        <f t="shared" si="12"/>
        <v>0.16326951799147679</v>
      </c>
      <c r="W14">
        <f t="shared" si="13"/>
        <v>6.7757088110694693E-5</v>
      </c>
      <c r="X14">
        <f t="shared" si="14"/>
        <v>0.17917122824304696</v>
      </c>
      <c r="Y14">
        <f t="shared" si="15"/>
        <v>2.2099435429284749E-4</v>
      </c>
      <c r="Z14">
        <f t="shared" si="16"/>
        <v>0.31252158885534598</v>
      </c>
      <c r="AA14">
        <f t="shared" si="17"/>
        <v>9.1020022227565373E-4</v>
      </c>
    </row>
    <row r="16" spans="1:27">
      <c r="A16" t="s">
        <v>13</v>
      </c>
      <c r="B16" t="s">
        <v>26</v>
      </c>
      <c r="C16">
        <v>-41.225999999999999</v>
      </c>
      <c r="D16">
        <v>4.0000000000000001E-3</v>
      </c>
      <c r="E16">
        <v>-169.047</v>
      </c>
      <c r="F16">
        <v>2.7E-2</v>
      </c>
      <c r="G16">
        <v>2.641</v>
      </c>
      <c r="H16">
        <v>0.156</v>
      </c>
      <c r="I16">
        <v>9.0839999999999996</v>
      </c>
      <c r="J16">
        <v>0.65500000000000003</v>
      </c>
      <c r="K16">
        <v>-118.724</v>
      </c>
      <c r="L16">
        <v>0.13400000000000001</v>
      </c>
      <c r="M16">
        <v>-212.26900000000001</v>
      </c>
      <c r="N16">
        <v>0.51300000000000001</v>
      </c>
      <c r="O16">
        <v>1</v>
      </c>
      <c r="Q16">
        <v>3</v>
      </c>
      <c r="R16">
        <f t="shared" si="0"/>
        <v>0</v>
      </c>
      <c r="S16">
        <f t="shared" si="8"/>
        <v>0</v>
      </c>
      <c r="T16">
        <f>LN((C16+1000)/($C$16+1000))</f>
        <v>0</v>
      </c>
      <c r="U16">
        <f>SQRT((D16/(C16+1000))^2+($D$16/($C$16+1000))^2)</f>
        <v>5.9000914183033535E-6</v>
      </c>
      <c r="V16">
        <f>LN((E16+1000)/($E$16+1000))</f>
        <v>0</v>
      </c>
      <c r="W16">
        <f>SQRT((F16/(E16+1000))^2+($F$16/($E$16+1000))^2)</f>
        <v>4.5951776074066245E-5</v>
      </c>
      <c r="X16">
        <f>LN((K16+1000)/($K$16+1000))</f>
        <v>0</v>
      </c>
      <c r="Y16">
        <f>SQRT((L16/(K16+1000))^2+($L$16/($K$16+1000))^2)</f>
        <v>2.1503435627203595E-4</v>
      </c>
      <c r="Z16">
        <f>LN((M16+1000)/($M$16+1000))</f>
        <v>0</v>
      </c>
      <c r="AA16">
        <f>SQRT((N16/(M16+1000))^2+($N$16/($M$16+1000))^2)</f>
        <v>9.2098896386888127E-4</v>
      </c>
    </row>
    <row r="17" spans="1:43">
      <c r="A17" t="s">
        <v>13</v>
      </c>
      <c r="B17" t="s">
        <v>27</v>
      </c>
      <c r="C17">
        <v>-35.729999999999997</v>
      </c>
      <c r="D17">
        <v>5.0000000000000001E-3</v>
      </c>
      <c r="E17">
        <v>-132.166</v>
      </c>
      <c r="F17">
        <v>2.5000000000000001E-2</v>
      </c>
      <c r="G17">
        <v>2.431</v>
      </c>
      <c r="H17">
        <v>0.18099999999999999</v>
      </c>
      <c r="I17">
        <v>0.73399999999999999</v>
      </c>
      <c r="J17">
        <v>0.66200000000000003</v>
      </c>
      <c r="K17">
        <v>-74.527000000000001</v>
      </c>
      <c r="L17">
        <v>0.16500000000000001</v>
      </c>
      <c r="M17">
        <v>-147.90299999999999</v>
      </c>
      <c r="N17">
        <v>0.56200000000000006</v>
      </c>
      <c r="O17">
        <v>0.73630270099999995</v>
      </c>
      <c r="P17">
        <v>2.2362847000000002E-2</v>
      </c>
      <c r="Q17">
        <v>3</v>
      </c>
      <c r="R17">
        <f t="shared" si="0"/>
        <v>0.30611396627248577</v>
      </c>
      <c r="S17">
        <f t="shared" si="8"/>
        <v>3.0371811714975636E-2</v>
      </c>
      <c r="T17">
        <f t="shared" ref="T17:T20" si="18">LN((C17+1000)/($C$16+1000))</f>
        <v>5.7159534194998075E-3</v>
      </c>
      <c r="U17">
        <f t="shared" ref="U17:U20" si="19">SQRT((D17/(C17+1000))^2+($D$16/($C$16+1000))^2)</f>
        <v>6.6552656661801862E-6</v>
      </c>
      <c r="V17">
        <f t="shared" ref="V17:V20" si="20">LN((E17+1000)/($E$16+1000))</f>
        <v>4.34272172386614E-2</v>
      </c>
      <c r="W17">
        <f t="shared" ref="W17:W20" si="21">SQRT((F17/(E17+1000))^2+($F$16/($E$16+1000))^2)</f>
        <v>4.3424030485359879E-5</v>
      </c>
      <c r="X17">
        <f t="shared" ref="X17:X20" si="22">LN((K17+1000)/($K$16+1000))</f>
        <v>4.8934100930869882E-2</v>
      </c>
      <c r="Y17">
        <f t="shared" ref="Y17:Y20" si="23">SQRT((L17/(K17+1000))^2+($L$16/($K$16+1000))^2)</f>
        <v>2.3432075619731464E-4</v>
      </c>
      <c r="Z17">
        <f t="shared" ref="Z17:Z20" si="24">LN((M17+1000)/($M$16+1000))</f>
        <v>7.8543709094870739E-2</v>
      </c>
      <c r="AA17">
        <f t="shared" ref="AA17:AA20" si="25">SQRT((N17/(M17+1000))^2+($N$16/($M$16+1000))^2)</f>
        <v>9.2688491521783641E-4</v>
      </c>
      <c r="AD17" t="s">
        <v>96</v>
      </c>
    </row>
    <row r="18" spans="1:43">
      <c r="A18" t="s">
        <v>13</v>
      </c>
      <c r="B18" t="s">
        <v>28</v>
      </c>
      <c r="C18">
        <v>-32.581000000000003</v>
      </c>
      <c r="D18">
        <v>5.0000000000000001E-3</v>
      </c>
      <c r="E18">
        <v>-109.44499999999999</v>
      </c>
      <c r="F18">
        <v>0.02</v>
      </c>
      <c r="G18">
        <v>2.0630000000000002</v>
      </c>
      <c r="H18">
        <v>0.17199999999999999</v>
      </c>
      <c r="I18">
        <v>-2.298</v>
      </c>
      <c r="J18">
        <v>0.54</v>
      </c>
      <c r="K18">
        <v>-47.545000000000002</v>
      </c>
      <c r="L18">
        <v>0.16200000000000001</v>
      </c>
      <c r="M18">
        <v>-105.419</v>
      </c>
      <c r="N18">
        <v>0.48099999999999998</v>
      </c>
      <c r="O18">
        <v>0.72539581600000003</v>
      </c>
      <c r="P18">
        <v>2.1915455E-2</v>
      </c>
      <c r="Q18">
        <v>3</v>
      </c>
      <c r="R18">
        <f t="shared" si="0"/>
        <v>0.32103782000218861</v>
      </c>
      <c r="S18">
        <f t="shared" si="8"/>
        <v>3.0211719611021301E-2</v>
      </c>
      <c r="T18">
        <f t="shared" si="18"/>
        <v>8.9763155062316524E-3</v>
      </c>
      <c r="U18">
        <f t="shared" si="19"/>
        <v>6.6421238027109521E-6</v>
      </c>
      <c r="V18">
        <f t="shared" si="20"/>
        <v>6.9271628984375139E-2</v>
      </c>
      <c r="W18">
        <f t="shared" si="21"/>
        <v>3.949861238050881E-5</v>
      </c>
      <c r="X18">
        <f t="shared" si="22"/>
        <v>7.7672004552973947E-2</v>
      </c>
      <c r="Y18">
        <f t="shared" si="23"/>
        <v>2.2814337262953475E-4</v>
      </c>
      <c r="Z18">
        <f t="shared" si="24"/>
        <v>0.12719879121153083</v>
      </c>
      <c r="AA18">
        <f t="shared" si="25"/>
        <v>8.4451888505022792E-4</v>
      </c>
      <c r="AD18" s="2"/>
      <c r="AE18" s="2" t="s">
        <v>88</v>
      </c>
      <c r="AF18" s="2" t="s">
        <v>89</v>
      </c>
      <c r="AG18" s="2" t="s">
        <v>86</v>
      </c>
      <c r="AH18" s="2" t="s">
        <v>87</v>
      </c>
      <c r="AI18" s="2" t="s">
        <v>90</v>
      </c>
      <c r="AJ18" s="2" t="s">
        <v>92</v>
      </c>
    </row>
    <row r="19" spans="1:43">
      <c r="A19" t="s">
        <v>13</v>
      </c>
      <c r="B19" t="s">
        <v>29</v>
      </c>
      <c r="C19">
        <v>-26.957999999999998</v>
      </c>
      <c r="D19">
        <v>8.0000000000000002E-3</v>
      </c>
      <c r="E19">
        <v>-63.027999999999999</v>
      </c>
      <c r="F19">
        <v>4.1000000000000002E-2</v>
      </c>
      <c r="G19">
        <v>3.0920000000000001</v>
      </c>
      <c r="H19">
        <v>0.19900000000000001</v>
      </c>
      <c r="I19">
        <v>-7.78</v>
      </c>
      <c r="J19">
        <v>0.68</v>
      </c>
      <c r="K19">
        <v>8.9580000000000002</v>
      </c>
      <c r="L19">
        <v>0.217</v>
      </c>
      <c r="M19">
        <v>-15.175000000000001</v>
      </c>
      <c r="N19">
        <v>0.66400000000000003</v>
      </c>
      <c r="O19">
        <v>0.55459070399999999</v>
      </c>
      <c r="P19">
        <v>1.6919110000000001E-2</v>
      </c>
      <c r="Q19">
        <v>3</v>
      </c>
      <c r="R19">
        <f t="shared" si="0"/>
        <v>0.58952490757094067</v>
      </c>
      <c r="S19">
        <f t="shared" si="8"/>
        <v>3.0507381169519208E-2</v>
      </c>
      <c r="T19">
        <f t="shared" si="18"/>
        <v>1.4771861759349036E-2</v>
      </c>
      <c r="U19">
        <f t="shared" si="19"/>
        <v>9.219592522172126E-6</v>
      </c>
      <c r="V19">
        <f t="shared" si="20"/>
        <v>0.12008016429532677</v>
      </c>
      <c r="W19">
        <f t="shared" si="21"/>
        <v>5.4502692462301639E-5</v>
      </c>
      <c r="X19">
        <f t="shared" si="22"/>
        <v>0.13530253687823732</v>
      </c>
      <c r="Y19">
        <f t="shared" si="23"/>
        <v>2.6339408278258468E-4</v>
      </c>
      <c r="Z19">
        <f t="shared" si="24"/>
        <v>0.22330729939386781</v>
      </c>
      <c r="AA19">
        <f t="shared" si="25"/>
        <v>9.3738914050226711E-4</v>
      </c>
      <c r="AD19" s="2" t="s">
        <v>93</v>
      </c>
      <c r="AE19" s="2">
        <f>1-0.0262</f>
        <v>0.9738</v>
      </c>
      <c r="AF19" s="2">
        <f>1-0.2322</f>
        <v>0.76780000000000004</v>
      </c>
      <c r="AG19" s="2">
        <f>1-0.2596</f>
        <v>0.74039999999999995</v>
      </c>
      <c r="AH19" s="2">
        <f>1-0.4359</f>
        <v>0.56410000000000005</v>
      </c>
      <c r="AI19" s="2">
        <f>AG19/AF19/AE19</f>
        <v>0.99025839324236098</v>
      </c>
      <c r="AJ19" s="2">
        <f>AH19/AF19^2</f>
        <v>0.95688530288634333</v>
      </c>
    </row>
    <row r="20" spans="1:43">
      <c r="A20" t="s">
        <v>13</v>
      </c>
      <c r="B20" t="s">
        <v>30</v>
      </c>
      <c r="C20">
        <v>-23.234000000000002</v>
      </c>
      <c r="D20">
        <v>3.0000000000000001E-3</v>
      </c>
      <c r="E20">
        <v>-17.568000000000001</v>
      </c>
      <c r="F20">
        <v>8.6999999999999994E-2</v>
      </c>
      <c r="G20">
        <v>3.2869999999999999</v>
      </c>
      <c r="H20">
        <v>0.15</v>
      </c>
      <c r="I20">
        <v>-11.422000000000001</v>
      </c>
      <c r="J20">
        <v>0.61499999999999999</v>
      </c>
      <c r="K20">
        <v>62.164999999999999</v>
      </c>
      <c r="L20">
        <v>0.13200000000000001</v>
      </c>
      <c r="M20">
        <v>78.730999999999995</v>
      </c>
      <c r="N20">
        <v>0.63900000000000001</v>
      </c>
      <c r="O20">
        <v>0.49209403200000001</v>
      </c>
      <c r="P20">
        <v>1.5218639000000001E-2</v>
      </c>
      <c r="Q20">
        <v>3</v>
      </c>
      <c r="R20">
        <f t="shared" si="0"/>
        <v>0.70908545880008278</v>
      </c>
      <c r="S20">
        <f t="shared" si="8"/>
        <v>3.0926282397995025E-2</v>
      </c>
      <c r="T20">
        <f t="shared" si="18"/>
        <v>1.8591729693211184E-2</v>
      </c>
      <c r="U20">
        <f t="shared" si="19"/>
        <v>5.1806169019648038E-6</v>
      </c>
      <c r="V20">
        <f t="shared" si="20"/>
        <v>0.16745789525973623</v>
      </c>
      <c r="W20">
        <f t="shared" si="21"/>
        <v>9.4328697936540371E-5</v>
      </c>
      <c r="X20">
        <f t="shared" si="22"/>
        <v>0.18669369972792763</v>
      </c>
      <c r="Y20">
        <f t="shared" si="23"/>
        <v>1.9637727173584855E-4</v>
      </c>
      <c r="Z20">
        <f t="shared" si="24"/>
        <v>0.31438396824523301</v>
      </c>
      <c r="AA20">
        <f t="shared" si="25"/>
        <v>8.8034305565604749E-4</v>
      </c>
      <c r="AD20" s="2" t="s">
        <v>94</v>
      </c>
      <c r="AE20" s="2">
        <f>1-0.0389</f>
        <v>0.96109999999999995</v>
      </c>
      <c r="AF20" s="2">
        <f>1-0.3177</f>
        <v>0.68230000000000002</v>
      </c>
      <c r="AG20" s="2">
        <f>1-0.3528</f>
        <v>0.6472</v>
      </c>
      <c r="AH20" s="2">
        <f>1-0.5938</f>
        <v>0.40620000000000001</v>
      </c>
      <c r="AI20" s="2">
        <f>AG20/AE20/AF20</f>
        <v>0.98694865623783812</v>
      </c>
      <c r="AJ20" s="2">
        <f>AH20/AF20^2</f>
        <v>0.87254769685751143</v>
      </c>
    </row>
    <row r="22" spans="1:43">
      <c r="A22" t="s">
        <v>13</v>
      </c>
      <c r="B22" t="s">
        <v>31</v>
      </c>
      <c r="C22">
        <v>-41.148000000000003</v>
      </c>
      <c r="D22">
        <v>7.0000000000000001E-3</v>
      </c>
      <c r="E22">
        <v>-169.435</v>
      </c>
      <c r="F22">
        <v>0.03</v>
      </c>
      <c r="G22">
        <v>3.0059999999999998</v>
      </c>
      <c r="H22">
        <v>0.218</v>
      </c>
      <c r="I22">
        <v>8.2680000000000007</v>
      </c>
      <c r="J22">
        <v>0.65800000000000003</v>
      </c>
      <c r="K22">
        <v>-118.74299999999999</v>
      </c>
      <c r="L22">
        <v>0.189</v>
      </c>
      <c r="M22">
        <v>-213.642</v>
      </c>
      <c r="N22">
        <v>0.51400000000000001</v>
      </c>
      <c r="O22">
        <v>1</v>
      </c>
      <c r="Q22">
        <v>4</v>
      </c>
      <c r="R22">
        <f t="shared" si="0"/>
        <v>0</v>
      </c>
      <c r="S22">
        <f t="shared" si="8"/>
        <v>0</v>
      </c>
      <c r="T22">
        <f>LN((C22+1000)/($C$22+1000))</f>
        <v>0</v>
      </c>
      <c r="U22">
        <f>SQRT((D22/(C22+1000))^2+($D$22/($C$22+1000))^2)</f>
        <v>1.0324320058373623E-5</v>
      </c>
      <c r="V22">
        <f>LN((E22+1000)/($E$22+1000))</f>
        <v>0</v>
      </c>
      <c r="W22">
        <f>SQRT((F22/(E22+1000))^2+($F$22/($E$22+1000))^2)</f>
        <v>5.1081380591757235E-5</v>
      </c>
      <c r="X22">
        <f>LN((K22+1000)/($K$22+1000))</f>
        <v>0</v>
      </c>
      <c r="Y22">
        <f>SQRT((L22/(K22+1000))^2+($L$22/($K$22+1000))^2)</f>
        <v>3.0330126545209278E-4</v>
      </c>
      <c r="Z22">
        <f>LN((M22+1000)/($M$22+1000))</f>
        <v>0</v>
      </c>
      <c r="AA22">
        <f>SQRT((N22/(M22+1000))^2+($N$22/($M$22+1000))^2)</f>
        <v>9.2439546753485171E-4</v>
      </c>
    </row>
    <row r="23" spans="1:43">
      <c r="A23" t="s">
        <v>13</v>
      </c>
      <c r="B23" t="s">
        <v>32</v>
      </c>
      <c r="C23">
        <v>-33.448</v>
      </c>
      <c r="D23">
        <v>6.0000000000000001E-3</v>
      </c>
      <c r="E23">
        <v>-111.32</v>
      </c>
      <c r="F23">
        <v>4.8000000000000001E-2</v>
      </c>
      <c r="G23">
        <v>2.3210000000000002</v>
      </c>
      <c r="H23">
        <v>0.20899999999999999</v>
      </c>
      <c r="I23">
        <v>-2.2069999999999999</v>
      </c>
      <c r="J23">
        <v>0.79400000000000004</v>
      </c>
      <c r="K23">
        <v>-50.158000000000001</v>
      </c>
      <c r="L23">
        <v>0.192</v>
      </c>
      <c r="M23">
        <v>-109.101</v>
      </c>
      <c r="N23">
        <v>0.70099999999999996</v>
      </c>
      <c r="O23">
        <v>0.80544496700000001</v>
      </c>
      <c r="P23">
        <v>2.1286756E-2</v>
      </c>
      <c r="Q23">
        <v>4</v>
      </c>
      <c r="R23">
        <f t="shared" si="0"/>
        <v>0.21636040023854716</v>
      </c>
      <c r="S23">
        <f t="shared" si="8"/>
        <v>2.6428566658359912E-2</v>
      </c>
      <c r="T23">
        <f t="shared" ref="T23:T26" si="26">LN((C23+1000)/($C$22+1000))</f>
        <v>7.9983640314746675E-3</v>
      </c>
      <c r="U23">
        <f t="shared" ref="U23:U26" si="27">SQRT((D23/(C23+1000))^2+($D$22/($C$22+1000))^2)</f>
        <v>9.5828231029445274E-6</v>
      </c>
      <c r="V23">
        <f t="shared" ref="V23:V26" si="28">LN((E23+1000)/($E$22+1000))</f>
        <v>6.7631023613452981E-2</v>
      </c>
      <c r="W23">
        <f t="shared" ref="W23:W26" si="29">SQRT((F23/(E23+1000))^2+($F$22/($E$22+1000))^2)</f>
        <v>6.4977109237328301E-5</v>
      </c>
      <c r="X23">
        <f t="shared" ref="X23:X26" si="30">LN((K23+1000)/($K$22+1000))</f>
        <v>7.494635761576604E-2</v>
      </c>
      <c r="Y23">
        <f t="shared" ref="Y23:Y26" si="31">SQRT((L23/(K23+1000))^2+($L$22/($K$22+1000))^2)</f>
        <v>2.9471334623169647E-4</v>
      </c>
      <c r="Z23">
        <f t="shared" ref="Z23:Z26" si="32">LN((M23+1000)/($M$22+1000))</f>
        <v>0.12481890579372579</v>
      </c>
      <c r="AA23">
        <f t="shared" ref="AA23:AA26" si="33">SQRT((N23/(M23+1000))^2+($N$22/($M$22+1000))^2)</f>
        <v>1.0229269584308553E-3</v>
      </c>
      <c r="AD23" t="s">
        <v>97</v>
      </c>
    </row>
    <row r="24" spans="1:43">
      <c r="A24" t="s">
        <v>13</v>
      </c>
      <c r="B24" t="s">
        <v>33</v>
      </c>
      <c r="C24">
        <v>-31.945</v>
      </c>
      <c r="D24">
        <v>4.0000000000000001E-3</v>
      </c>
      <c r="E24">
        <v>-103.56399999999999</v>
      </c>
      <c r="F24">
        <v>2.7E-2</v>
      </c>
      <c r="G24">
        <v>2.0019999999999998</v>
      </c>
      <c r="H24">
        <v>0.182</v>
      </c>
      <c r="I24">
        <v>-0.60899999999999999</v>
      </c>
      <c r="J24">
        <v>0.622</v>
      </c>
      <c r="K24">
        <v>-40.683999999999997</v>
      </c>
      <c r="L24">
        <v>0.17199999999999999</v>
      </c>
      <c r="M24">
        <v>-92.031000000000006</v>
      </c>
      <c r="N24">
        <v>0.56200000000000006</v>
      </c>
      <c r="O24">
        <v>0.78848437999999998</v>
      </c>
      <c r="P24">
        <v>2.0838512E-2</v>
      </c>
      <c r="Q24">
        <v>4</v>
      </c>
      <c r="R24">
        <f t="shared" si="0"/>
        <v>0.23764268254063728</v>
      </c>
      <c r="S24">
        <f t="shared" si="8"/>
        <v>2.6428566663552675E-2</v>
      </c>
      <c r="T24">
        <f t="shared" si="26"/>
        <v>9.552168294967904E-3</v>
      </c>
      <c r="U24">
        <f t="shared" si="27"/>
        <v>8.3886344838847804E-6</v>
      </c>
      <c r="V24">
        <f t="shared" si="28"/>
        <v>7.6320709667451234E-2</v>
      </c>
      <c r="W24">
        <f t="shared" si="29"/>
        <v>4.7030036004331903E-5</v>
      </c>
      <c r="X24">
        <f t="shared" si="30"/>
        <v>8.4871233155781878E-2</v>
      </c>
      <c r="Y24">
        <f t="shared" si="31"/>
        <v>2.7953947070367009E-4</v>
      </c>
      <c r="Z24">
        <f t="shared" si="32"/>
        <v>0.14379807757750526</v>
      </c>
      <c r="AA24">
        <f t="shared" si="33"/>
        <v>9.0020539560443306E-4</v>
      </c>
      <c r="AE24" t="s">
        <v>88</v>
      </c>
      <c r="AF24" t="s">
        <v>98</v>
      </c>
      <c r="AG24" t="s">
        <v>89</v>
      </c>
      <c r="AH24" t="s">
        <v>98</v>
      </c>
      <c r="AI24" t="s">
        <v>86</v>
      </c>
      <c r="AJ24" t="s">
        <v>98</v>
      </c>
      <c r="AK24" t="s">
        <v>87</v>
      </c>
      <c r="AL24" t="s">
        <v>98</v>
      </c>
      <c r="AM24" t="s">
        <v>90</v>
      </c>
      <c r="AN24" t="s">
        <v>98</v>
      </c>
      <c r="AO24" t="s">
        <v>92</v>
      </c>
      <c r="AP24" t="s">
        <v>98</v>
      </c>
      <c r="AQ24" t="s">
        <v>122</v>
      </c>
    </row>
    <row r="25" spans="1:43">
      <c r="A25" t="s">
        <v>13</v>
      </c>
      <c r="B25" t="s">
        <v>34</v>
      </c>
      <c r="C25">
        <v>-25.515999999999998</v>
      </c>
      <c r="D25">
        <v>8.9999999999999993E-3</v>
      </c>
      <c r="E25">
        <v>-46.448999999999998</v>
      </c>
      <c r="F25">
        <v>4.4999999999999998E-2</v>
      </c>
      <c r="G25">
        <v>-1.0580000000000001</v>
      </c>
      <c r="H25">
        <v>0.23699999999999999</v>
      </c>
      <c r="I25">
        <v>-9.6419999999999995</v>
      </c>
      <c r="J25">
        <v>0.97299999999999998</v>
      </c>
      <c r="K25">
        <v>24.077999999999999</v>
      </c>
      <c r="L25">
        <v>0.23799999999999999</v>
      </c>
      <c r="M25">
        <v>18.068999999999999</v>
      </c>
      <c r="N25">
        <v>0.98599999999999999</v>
      </c>
      <c r="O25">
        <v>0.74803255300000004</v>
      </c>
      <c r="P25">
        <v>2.0007508E-2</v>
      </c>
      <c r="Q25" t="s">
        <v>35</v>
      </c>
      <c r="R25">
        <f>-LN(O25)</f>
        <v>0.29030878190115389</v>
      </c>
      <c r="S25">
        <f>P25/O25</f>
        <v>2.6746841323628864E-2</v>
      </c>
      <c r="T25">
        <f>LN((C25+1000)/($C$22+1000))</f>
        <v>1.6171364587247845E-2</v>
      </c>
      <c r="U25">
        <f>SQRT((D25/(C25+1000))^2+($D$22/($C$22+1000))^2)</f>
        <v>1.1772559322877234E-5</v>
      </c>
      <c r="V25">
        <f>LN((E25+1000)/($E$22+1000))</f>
        <v>0.13808671866720873</v>
      </c>
      <c r="W25">
        <f>SQRT((F25/(E25+1000))^2+($F$22/($E$22+1000))^2)</f>
        <v>5.9428450129396458E-5</v>
      </c>
      <c r="X25">
        <f>LN((K25+1000)/($K$22+1000))</f>
        <v>0.15019867721618088</v>
      </c>
      <c r="Y25">
        <f t="shared" si="31"/>
        <v>3.1623966881581047E-4</v>
      </c>
      <c r="Z25">
        <f>LN((M25+1000)/($M$22+1000))</f>
        <v>0.25825081530240851</v>
      </c>
      <c r="AA25">
        <f t="shared" si="33"/>
        <v>1.1684374481778447E-3</v>
      </c>
      <c r="AD25" s="6" t="s">
        <v>101</v>
      </c>
    </row>
    <row r="26" spans="1:43">
      <c r="A26" t="s">
        <v>13</v>
      </c>
      <c r="B26" t="s">
        <v>36</v>
      </c>
      <c r="C26">
        <v>-23.369</v>
      </c>
      <c r="D26">
        <v>4.2000000000000003E-2</v>
      </c>
      <c r="E26">
        <v>-17.706</v>
      </c>
      <c r="F26">
        <v>8.7999999999999995E-2</v>
      </c>
      <c r="G26">
        <v>1.5049999999999999</v>
      </c>
      <c r="H26">
        <v>0.221</v>
      </c>
      <c r="I26">
        <v>-13.048999999999999</v>
      </c>
      <c r="J26">
        <v>0.69299999999999995</v>
      </c>
      <c r="K26">
        <v>59.982999999999997</v>
      </c>
      <c r="L26">
        <v>0.21199999999999999</v>
      </c>
      <c r="M26">
        <v>76.652000000000001</v>
      </c>
      <c r="N26">
        <v>0.72399999999999998</v>
      </c>
      <c r="O26">
        <v>0.687407518</v>
      </c>
      <c r="P26">
        <v>1.838598E-2</v>
      </c>
      <c r="Q26">
        <v>4</v>
      </c>
      <c r="R26">
        <f t="shared" si="0"/>
        <v>0.3748279777626668</v>
      </c>
      <c r="S26">
        <f t="shared" si="8"/>
        <v>2.6746841602043693E-2</v>
      </c>
      <c r="T26">
        <f t="shared" si="26"/>
        <v>1.8372158355510114E-2</v>
      </c>
      <c r="U26">
        <f t="shared" si="27"/>
        <v>4.3620229190074084E-5</v>
      </c>
      <c r="V26">
        <f t="shared" si="28"/>
        <v>0.16778446045308437</v>
      </c>
      <c r="W26">
        <f t="shared" si="29"/>
        <v>9.6593702538830565E-5</v>
      </c>
      <c r="X26">
        <f t="shared" si="30"/>
        <v>0.18465885188431561</v>
      </c>
      <c r="Y26">
        <f t="shared" si="31"/>
        <v>2.9325264169680396E-4</v>
      </c>
      <c r="Z26">
        <f t="shared" si="32"/>
        <v>0.31419934569297769</v>
      </c>
      <c r="AA26">
        <f t="shared" si="33"/>
        <v>9.3778952404942925E-4</v>
      </c>
      <c r="AD26" t="s">
        <v>99</v>
      </c>
      <c r="AE26" s="3">
        <f>1-0.0241631</f>
        <v>0.97583690000000001</v>
      </c>
      <c r="AF26" s="4">
        <v>7.4890000000000004E-4</v>
      </c>
      <c r="AG26" s="4">
        <f>1-0.22462</f>
        <v>0.77537999999999996</v>
      </c>
      <c r="AH26" s="3">
        <v>6.8570000000000002E-3</v>
      </c>
      <c r="AI26" s="4">
        <f>1-0.243574</f>
        <v>0.75642600000000004</v>
      </c>
      <c r="AJ26" s="3">
        <v>7.4479999999999998E-3</v>
      </c>
      <c r="AK26" s="4">
        <f>1-0.423599</f>
        <v>0.57640099999999994</v>
      </c>
      <c r="AL26" s="3">
        <v>1.3180000000000001E-2</v>
      </c>
      <c r="AM26" s="5">
        <f>AI26/AG26/AE26</f>
        <v>0.99971133663644463</v>
      </c>
      <c r="AN26" s="5">
        <f>AM26*SQRT((AJ26/AI26)^2+(AH26/AG26)^2+(AF26/AE26)^2)</f>
        <v>1.3253038988246407E-2</v>
      </c>
      <c r="AO26" s="5">
        <f>AK26/AG26^2</f>
        <v>0.95872827572151842</v>
      </c>
      <c r="AP26" s="5">
        <f>AO26*SQRT((AL26/AK26)^2+4*(AH26/AG26)^2)</f>
        <v>2.7715015934355873E-2</v>
      </c>
    </row>
    <row r="27" spans="1:43">
      <c r="AD27" t="s">
        <v>100</v>
      </c>
      <c r="AE27" s="4">
        <f>1-0.025521</f>
        <v>0.97447899999999998</v>
      </c>
      <c r="AF27" s="3">
        <v>7.649E-4</v>
      </c>
      <c r="AG27" s="4">
        <f>1-0.218062</f>
        <v>0.78193800000000002</v>
      </c>
      <c r="AH27" s="3">
        <v>6.535E-3</v>
      </c>
      <c r="AI27" s="4">
        <f>1-0.244052</f>
        <v>0.75594800000000006</v>
      </c>
      <c r="AJ27" s="3">
        <v>7.3270000000000002E-3</v>
      </c>
      <c r="AK27" s="4">
        <f>1-0.407541</f>
        <v>0.59245900000000007</v>
      </c>
      <c r="AL27" s="3">
        <v>1.2359999999999999E-2</v>
      </c>
      <c r="AM27" s="4">
        <f>AI27/AG27/AE27</f>
        <v>0.99208096906152188</v>
      </c>
      <c r="AN27" s="4">
        <f>AM27*SQRT((AJ27/AI27)^2+(AH27/AG27)^2+(AF27/AE27)^2)</f>
        <v>1.2720583255423124E-2</v>
      </c>
      <c r="AO27" s="4">
        <f>AK27/AG27^2</f>
        <v>0.96897743355784571</v>
      </c>
      <c r="AP27" s="4">
        <f>AO27*SQRT((AL27/AK27)^2+4*(AH27/AG27)^2)</f>
        <v>2.5903047574780208E-2</v>
      </c>
    </row>
    <row r="28" spans="1:43">
      <c r="A28" t="s">
        <v>13</v>
      </c>
      <c r="B28" t="s">
        <v>37</v>
      </c>
      <c r="C28">
        <v>-41.152000000000001</v>
      </c>
      <c r="D28">
        <v>5.0000000000000001E-3</v>
      </c>
      <c r="E28">
        <v>-169.44800000000001</v>
      </c>
      <c r="F28">
        <v>3.2000000000000001E-2</v>
      </c>
      <c r="G28">
        <v>3.0270000000000001</v>
      </c>
      <c r="H28">
        <v>0.16900000000000001</v>
      </c>
      <c r="I28">
        <v>9.1470000000000002</v>
      </c>
      <c r="J28">
        <v>0.77</v>
      </c>
      <c r="K28">
        <v>-118.741</v>
      </c>
      <c r="L28">
        <v>0.14499999999999999</v>
      </c>
      <c r="M28">
        <v>-212.98</v>
      </c>
      <c r="N28">
        <v>0.60299999999999998</v>
      </c>
      <c r="O28">
        <v>1</v>
      </c>
      <c r="Q28">
        <v>5</v>
      </c>
      <c r="R28">
        <f t="shared" si="0"/>
        <v>0</v>
      </c>
      <c r="S28">
        <f t="shared" si="8"/>
        <v>0</v>
      </c>
      <c r="T28">
        <f>LN((C28+1000)/($C$28+1000))</f>
        <v>0</v>
      </c>
      <c r="U28">
        <f>SQRT((D28/(C28+1000))^2+($D$28/($C$28+1000))^2)</f>
        <v>7.3745450914696337E-6</v>
      </c>
      <c r="V28">
        <f>LN((E28+1000)/($E$28+1000))</f>
        <v>0</v>
      </c>
      <c r="W28">
        <f>SQRT((F28/(E28+1000))^2+($F$28/($E$28+1000))^2)</f>
        <v>5.4487658805154929E-5</v>
      </c>
      <c r="X28">
        <f>LN((K28+1000)/($K$28+1000))</f>
        <v>0</v>
      </c>
      <c r="Y28">
        <f>SQRT((L28/(K28+1000))^2+($L$28/($K$28+1000))^2)</f>
        <v>2.3269091895129442E-4</v>
      </c>
      <c r="Z28">
        <f>LN((M28+1000)/($M$28+1000))</f>
        <v>0</v>
      </c>
      <c r="AA28">
        <f>SQRT((N28/(M28+1000))^2+($N$28/($M$28+1000))^2)</f>
        <v>1.0835439736105515E-3</v>
      </c>
      <c r="AD28" t="s">
        <v>102</v>
      </c>
      <c r="AE28" s="4">
        <f>1-0.0221287</f>
        <v>0.9778713</v>
      </c>
      <c r="AF28" s="3">
        <v>5.2439999999999995E-4</v>
      </c>
      <c r="AG28" s="4">
        <f>1-0.197735</f>
        <v>0.80226500000000001</v>
      </c>
      <c r="AH28" s="3">
        <v>4.6800000000000001E-3</v>
      </c>
      <c r="AI28" s="4">
        <f>1-0.216789</f>
        <v>0.78321099999999999</v>
      </c>
      <c r="AJ28" s="3">
        <v>5.1489999999999999E-3</v>
      </c>
      <c r="AK28" s="3">
        <f>1-0.376229</f>
        <v>0.62377100000000008</v>
      </c>
      <c r="AL28" s="3">
        <v>9.0530000000000003E-3</v>
      </c>
      <c r="AM28" s="4">
        <f>AI28/AG28/AE28</f>
        <v>0.9983417479533051</v>
      </c>
      <c r="AN28" s="4">
        <f>AM28*SQRT((AJ28/AI28)^2+(AH28/AG28)^2+(AF28/AE28)^2)</f>
        <v>8.7909340698149093E-3</v>
      </c>
      <c r="AO28" s="4">
        <f>AK28/AG28^2</f>
        <v>0.96914662607322022</v>
      </c>
      <c r="AP28" s="4">
        <f>AO28*SQRT((AL28/AK28)^2+4*(AH28/AG28)^2)</f>
        <v>1.8046830857111663E-2</v>
      </c>
    </row>
    <row r="29" spans="1:43">
      <c r="A29" t="s">
        <v>13</v>
      </c>
      <c r="B29" t="s">
        <v>38</v>
      </c>
      <c r="C29">
        <v>-40.773000000000003</v>
      </c>
      <c r="D29">
        <v>6.0000000000000001E-3</v>
      </c>
      <c r="E29">
        <v>-163.40899999999999</v>
      </c>
      <c r="F29">
        <v>0.03</v>
      </c>
      <c r="G29">
        <v>2.9359999999999999</v>
      </c>
      <c r="H29">
        <v>0.26200000000000001</v>
      </c>
      <c r="I29">
        <v>7.9950000000000001</v>
      </c>
      <c r="J29">
        <v>0.69199999999999995</v>
      </c>
      <c r="K29">
        <v>-112.063</v>
      </c>
      <c r="L29">
        <v>0.23</v>
      </c>
      <c r="M29">
        <v>-202.40600000000001</v>
      </c>
      <c r="N29">
        <v>0.54900000000000004</v>
      </c>
      <c r="O29">
        <v>0.76794537699999998</v>
      </c>
      <c r="P29">
        <v>4.5265565000000001E-2</v>
      </c>
      <c r="Q29">
        <v>5</v>
      </c>
      <c r="R29">
        <f t="shared" si="0"/>
        <v>0.26403667206179171</v>
      </c>
      <c r="S29">
        <f>P29/O29</f>
        <v>5.8943730056467289E-2</v>
      </c>
      <c r="T29">
        <f t="shared" ref="T29:T31" si="34">LN((C29+1000)/($C$28+1000))</f>
        <v>3.9518788882864791E-4</v>
      </c>
      <c r="U29">
        <f t="shared" ref="U29:U31" si="35">SQRT((D29/(C29+1000))^2+($D$28/($C$28+1000))^2)</f>
        <v>8.143552088339424E-6</v>
      </c>
      <c r="V29">
        <f t="shared" ref="V29:V31" si="36">LN((E29+1000)/($E$28+1000))</f>
        <v>7.2447611438733019E-3</v>
      </c>
      <c r="W29">
        <f t="shared" ref="W29:W31" si="37">SQRT((F29/(E29+1000))^2+($F$28/($E$28+1000))^2)</f>
        <v>5.2634389350125753E-5</v>
      </c>
      <c r="X29">
        <f t="shared" ref="X29:X31" si="38">LN((K29+1000)/($K$28+1000))</f>
        <v>7.5492276891554935E-3</v>
      </c>
      <c r="Y29">
        <f t="shared" ref="Y29:Y31" si="39">SQRT((L29/(K29+1000))^2+($L$28/($K$28+1000))^2)</f>
        <v>3.068675912413849E-4</v>
      </c>
      <c r="Z29">
        <f t="shared" ref="Z29:Z31" si="40">LN((M29+1000)/($M$28+1000))</f>
        <v>1.3346034996521504E-2</v>
      </c>
      <c r="AA29">
        <f t="shared" ref="AA29:AA31" si="41">SQRT((N29/(M29+1000))^2+($N$28/($M$28+1000))^2)</f>
        <v>1.0299603695205547E-3</v>
      </c>
      <c r="AD29" s="6" t="s">
        <v>103</v>
      </c>
      <c r="AM29" s="4"/>
      <c r="AN29" s="4"/>
      <c r="AO29" s="4"/>
      <c r="AP29" s="4"/>
    </row>
    <row r="30" spans="1:43">
      <c r="A30" t="s">
        <v>13</v>
      </c>
      <c r="B30" t="s">
        <v>39</v>
      </c>
      <c r="C30">
        <v>-36.698999999999998</v>
      </c>
      <c r="D30">
        <v>7.0000000000000001E-3</v>
      </c>
      <c r="E30">
        <v>-135.137</v>
      </c>
      <c r="F30">
        <v>3.1E-2</v>
      </c>
      <c r="G30">
        <v>2.2850000000000001</v>
      </c>
      <c r="H30">
        <v>0.17699999999999999</v>
      </c>
      <c r="I30">
        <v>2.589</v>
      </c>
      <c r="J30">
        <v>0.77300000000000002</v>
      </c>
      <c r="K30">
        <v>-78.757000000000005</v>
      </c>
      <c r="L30">
        <v>0.16</v>
      </c>
      <c r="M30">
        <v>-152.15899999999999</v>
      </c>
      <c r="N30">
        <v>0.65200000000000002</v>
      </c>
      <c r="O30">
        <v>0.64579197300000002</v>
      </c>
      <c r="P30">
        <v>3.8257789E-2</v>
      </c>
      <c r="Q30">
        <v>5</v>
      </c>
      <c r="R30">
        <f t="shared" si="0"/>
        <v>0.4372778502799603</v>
      </c>
      <c r="S30">
        <f t="shared" si="8"/>
        <v>5.9241660781683331E-2</v>
      </c>
      <c r="T30">
        <f t="shared" si="34"/>
        <v>4.6333639758802695E-3</v>
      </c>
      <c r="U30">
        <f t="shared" si="35"/>
        <v>8.9440815182793325E-6</v>
      </c>
      <c r="V30">
        <f t="shared" si="36"/>
        <v>4.0480572908264789E-2</v>
      </c>
      <c r="W30">
        <f t="shared" si="37"/>
        <v>5.2623496992347153E-5</v>
      </c>
      <c r="X30">
        <f t="shared" si="38"/>
        <v>4.437227826261516E-2</v>
      </c>
      <c r="Y30">
        <f t="shared" si="39"/>
        <v>2.3924195836541807E-4</v>
      </c>
      <c r="Z30">
        <f t="shared" si="40"/>
        <v>7.4439457156471212E-2</v>
      </c>
      <c r="AA30">
        <f t="shared" si="41"/>
        <v>1.0855475131534397E-3</v>
      </c>
      <c r="AD30" t="s">
        <v>108</v>
      </c>
      <c r="AE30" s="4">
        <f>1-0.0452012</f>
        <v>0.95479880000000006</v>
      </c>
      <c r="AF30" s="3">
        <v>2.4369999999999999E-3</v>
      </c>
      <c r="AG30" s="4">
        <f>1-0.402288</f>
        <v>0.59771200000000002</v>
      </c>
      <c r="AH30" s="3">
        <v>2.1680000000000001E-2</v>
      </c>
      <c r="AI30" s="4">
        <f>1-0.443589</f>
        <v>0.55641099999999999</v>
      </c>
      <c r="AJ30" s="3">
        <v>2.3939999999999999E-2</v>
      </c>
      <c r="AK30" s="4">
        <f>1-0.753193</f>
        <v>0.246807</v>
      </c>
      <c r="AL30" s="3">
        <v>4.0759999999999998E-2</v>
      </c>
      <c r="AM30" s="4">
        <f t="shared" ref="AM30" si="42">AI30/AG30/AE30</f>
        <v>0.97497138078038892</v>
      </c>
      <c r="AN30" s="4">
        <f t="shared" ref="AN30" si="43">AM30*SQRT((AJ30/AI30)^2+(AH30/AG30)^2+(AF30/AE30)^2)</f>
        <v>5.4922676102240754E-2</v>
      </c>
      <c r="AO30" s="4">
        <f t="shared" ref="AO30" si="44">AK30/AG30^2</f>
        <v>0.69083371268261706</v>
      </c>
      <c r="AP30" s="4">
        <f t="shared" ref="AP30" si="45">AO30*SQRT((AL30/AK30)^2+4*(AH30/AG30)^2)</f>
        <v>0.12461234121307641</v>
      </c>
    </row>
    <row r="31" spans="1:43">
      <c r="A31" t="s">
        <v>13</v>
      </c>
      <c r="B31" t="s">
        <v>40</v>
      </c>
      <c r="C31">
        <v>-36.473999999999997</v>
      </c>
      <c r="D31">
        <v>5.0000000000000001E-3</v>
      </c>
      <c r="E31">
        <v>-133.87299999999999</v>
      </c>
      <c r="F31">
        <v>0.05</v>
      </c>
      <c r="G31">
        <v>1.232</v>
      </c>
      <c r="H31">
        <v>0.189</v>
      </c>
      <c r="I31">
        <v>1.1100000000000001</v>
      </c>
      <c r="J31">
        <v>0.72399999999999998</v>
      </c>
      <c r="K31">
        <v>-78.164000000000001</v>
      </c>
      <c r="L31">
        <v>0.16700000000000001</v>
      </c>
      <c r="M31">
        <v>-150.93199999999999</v>
      </c>
      <c r="N31">
        <v>0.60699999999999998</v>
      </c>
      <c r="O31">
        <v>0.60606423499999995</v>
      </c>
      <c r="P31">
        <v>3.5904251999999998E-2</v>
      </c>
      <c r="Q31">
        <v>5</v>
      </c>
      <c r="R31">
        <f t="shared" si="0"/>
        <v>0.50076930018041588</v>
      </c>
      <c r="S31">
        <f t="shared" si="8"/>
        <v>5.9241661075743891E-2</v>
      </c>
      <c r="T31">
        <f t="shared" si="34"/>
        <v>4.8669085556714434E-3</v>
      </c>
      <c r="U31">
        <f t="shared" si="35"/>
        <v>7.3566648540491152E-6</v>
      </c>
      <c r="V31">
        <f t="shared" si="36"/>
        <v>4.1941009103346936E-2</v>
      </c>
      <c r="W31">
        <f t="shared" si="37"/>
        <v>6.9404638634151382E-5</v>
      </c>
      <c r="X31">
        <f t="shared" si="38"/>
        <v>4.5015766708267631E-2</v>
      </c>
      <c r="Y31">
        <f t="shared" si="39"/>
        <v>2.4472750612364135E-4</v>
      </c>
      <c r="Z31">
        <f t="shared" si="40"/>
        <v>7.5885616277370643E-2</v>
      </c>
      <c r="AA31">
        <f t="shared" si="41"/>
        <v>1.0479112311169905E-3</v>
      </c>
      <c r="AD31" t="s">
        <v>109</v>
      </c>
      <c r="AE31" s="3">
        <f>1-0.00991845</f>
        <v>0.99008154999999998</v>
      </c>
      <c r="AF31" s="3">
        <v>8.2109999999999995E-4</v>
      </c>
      <c r="AG31" s="3">
        <f>1-0.08492</f>
        <v>0.91508</v>
      </c>
      <c r="AH31" s="3">
        <v>7.0299999999999998E-3</v>
      </c>
      <c r="AI31" s="3">
        <f>1-0.0922273</f>
        <v>0.90777269999999999</v>
      </c>
      <c r="AJ31" s="3">
        <v>7.6600000000000001E-3</v>
      </c>
      <c r="AK31" s="3">
        <f>1-0.15534</f>
        <v>0.84465999999999997</v>
      </c>
      <c r="AL31" s="3">
        <v>1.319E-2</v>
      </c>
      <c r="AM31" s="4">
        <f t="shared" ref="AM29:AM31" si="46">AI31/AG31/AE31</f>
        <v>1.0019523926694696</v>
      </c>
      <c r="AN31" s="4">
        <f t="shared" ref="AN29:AN31" si="47">AM31*SQRT((AJ31/AI31)^2+(AH31/AG31)^2+(AF31/AE31)^2)</f>
        <v>1.146395968760695E-2</v>
      </c>
      <c r="AO31" s="4">
        <f t="shared" ref="AO29:AO31" si="48">AK31/AG31^2</f>
        <v>1.0087041348012287</v>
      </c>
      <c r="AP31" s="4">
        <f t="shared" ref="AP29:AP31" si="49">AO31*SQRT((AL31/AK31)^2+4*(AH31/AG31)^2)</f>
        <v>2.2097943683816186E-2</v>
      </c>
    </row>
    <row r="32" spans="1:43">
      <c r="AD32" s="6" t="s">
        <v>115</v>
      </c>
    </row>
    <row r="33" spans="1:42">
      <c r="A33" t="s">
        <v>41</v>
      </c>
      <c r="B33" t="s">
        <v>42</v>
      </c>
      <c r="C33">
        <v>-39.006</v>
      </c>
      <c r="D33">
        <v>1.0999999999999999E-2</v>
      </c>
      <c r="E33">
        <v>-153.655</v>
      </c>
      <c r="F33">
        <v>0.02</v>
      </c>
      <c r="G33">
        <v>2.992</v>
      </c>
      <c r="H33">
        <v>0.193</v>
      </c>
      <c r="I33">
        <v>7.7149999999999999</v>
      </c>
      <c r="J33">
        <v>0.64300000000000002</v>
      </c>
      <c r="O33">
        <v>1</v>
      </c>
      <c r="P33">
        <v>0</v>
      </c>
      <c r="Q33" t="s">
        <v>43</v>
      </c>
      <c r="AD33" t="s">
        <v>110</v>
      </c>
      <c r="AE33">
        <v>0.99509999999999998</v>
      </c>
      <c r="AF33">
        <v>1E-4</v>
      </c>
      <c r="AG33">
        <v>0.85099999999999998</v>
      </c>
      <c r="AH33">
        <v>2E-3</v>
      </c>
      <c r="AI33">
        <v>0.83399999999999996</v>
      </c>
      <c r="AJ33">
        <v>2E-3</v>
      </c>
      <c r="AK33">
        <v>0.66</v>
      </c>
      <c r="AL33">
        <v>4.0000000000000001E-3</v>
      </c>
      <c r="AM33">
        <v>0.98499999999999999</v>
      </c>
      <c r="AN33">
        <v>2E-3</v>
      </c>
      <c r="AO33">
        <v>0.91200000000000003</v>
      </c>
      <c r="AP33">
        <v>6.0000000000000001E-3</v>
      </c>
    </row>
    <row r="34" spans="1:42">
      <c r="A34" t="s">
        <v>41</v>
      </c>
      <c r="B34" t="s">
        <v>44</v>
      </c>
      <c r="C34">
        <v>-37.543999999999997</v>
      </c>
      <c r="D34">
        <v>6.0000000000000001E-3</v>
      </c>
      <c r="E34">
        <v>-152.678</v>
      </c>
      <c r="F34">
        <v>1.9E-2</v>
      </c>
      <c r="G34">
        <v>2.8889999999999998</v>
      </c>
      <c r="H34">
        <v>0.158</v>
      </c>
      <c r="I34">
        <v>7.6790000000000003</v>
      </c>
      <c r="J34">
        <v>0.67200000000000004</v>
      </c>
      <c r="O34">
        <v>1</v>
      </c>
      <c r="P34">
        <v>0</v>
      </c>
      <c r="Q34" t="s">
        <v>43</v>
      </c>
      <c r="AD34" t="s">
        <v>111</v>
      </c>
    </row>
    <row r="35" spans="1:42">
      <c r="A35" t="s">
        <v>41</v>
      </c>
      <c r="B35" t="s">
        <v>45</v>
      </c>
      <c r="C35">
        <v>-39.094999999999999</v>
      </c>
      <c r="D35">
        <v>7.0000000000000001E-3</v>
      </c>
      <c r="E35">
        <v>-153.96799999999999</v>
      </c>
      <c r="F35">
        <v>2.4E-2</v>
      </c>
      <c r="G35">
        <v>2.8090000000000002</v>
      </c>
      <c r="H35">
        <v>0.19700000000000001</v>
      </c>
      <c r="I35">
        <v>7.4169999999999998</v>
      </c>
      <c r="J35">
        <v>0.70799999999999996</v>
      </c>
      <c r="O35">
        <v>1</v>
      </c>
      <c r="P35">
        <v>0</v>
      </c>
      <c r="Q35" t="s">
        <v>43</v>
      </c>
      <c r="AD35" t="s">
        <v>116</v>
      </c>
      <c r="AE35">
        <f>1-17/1000</f>
        <v>0.98299999999999998</v>
      </c>
      <c r="AF35">
        <f>0.5/1000</f>
        <v>5.0000000000000001E-4</v>
      </c>
      <c r="AG35">
        <f>1-164.9/1000</f>
        <v>0.83509999999999995</v>
      </c>
      <c r="AH35">
        <f>4.9/1000</f>
        <v>4.9000000000000007E-3</v>
      </c>
      <c r="AI35">
        <f>-4.1/1000+AG35+AE35-1</f>
        <v>0.81400000000000006</v>
      </c>
      <c r="AJ35" s="5">
        <f>SQRT((AF35)^2+(AH35)^2+(4.1/1000)^2)</f>
        <v>6.4085879880048458E-3</v>
      </c>
      <c r="AK35" t="s">
        <v>118</v>
      </c>
      <c r="AL35" t="s">
        <v>118</v>
      </c>
      <c r="AM35" s="5">
        <f>AI35/AG35/AE35</f>
        <v>0.99159060512973951</v>
      </c>
      <c r="AN35">
        <v>4.0000000000000002E-4</v>
      </c>
      <c r="AO35" t="s">
        <v>118</v>
      </c>
      <c r="AP35" t="s">
        <v>118</v>
      </c>
    </row>
    <row r="36" spans="1:42">
      <c r="A36" t="s">
        <v>41</v>
      </c>
      <c r="B36" t="s">
        <v>46</v>
      </c>
      <c r="C36">
        <v>-37.023000000000003</v>
      </c>
      <c r="D36">
        <v>8.0000000000000002E-3</v>
      </c>
      <c r="E36">
        <v>-133.9</v>
      </c>
      <c r="F36">
        <v>2.3E-2</v>
      </c>
      <c r="G36">
        <v>2.3359999999999999</v>
      </c>
      <c r="H36">
        <v>0.183</v>
      </c>
      <c r="I36">
        <v>2.8580000000000001</v>
      </c>
      <c r="J36">
        <v>0.64900000000000002</v>
      </c>
      <c r="O36">
        <v>0.82126473099999997</v>
      </c>
      <c r="P36">
        <v>3.5051143E-2</v>
      </c>
      <c r="Q36" t="s">
        <v>43</v>
      </c>
      <c r="AD36" t="s">
        <v>117</v>
      </c>
      <c r="AE36">
        <f>1-0.0183</f>
        <v>0.98170000000000002</v>
      </c>
      <c r="AF36">
        <f>0.7/1000</f>
        <v>6.9999999999999999E-4</v>
      </c>
      <c r="AG36">
        <f>1-180/1000</f>
        <v>0.82000000000000006</v>
      </c>
      <c r="AH36">
        <f>5.4/1000</f>
        <v>5.4000000000000003E-3</v>
      </c>
      <c r="AI36">
        <f>-7/1000+AG36+AE36-1</f>
        <v>0.79470000000000018</v>
      </c>
      <c r="AJ36" s="5">
        <f>SQRT((AF36)^2+(AH36)^2+(7/1000)^2)</f>
        <v>8.8684835231284051E-3</v>
      </c>
      <c r="AK36" t="s">
        <v>118</v>
      </c>
      <c r="AL36" t="s">
        <v>118</v>
      </c>
      <c r="AM36" s="5">
        <f>AI36/AG36/AE36</f>
        <v>0.98721232704840056</v>
      </c>
      <c r="AN36">
        <v>1E-3</v>
      </c>
      <c r="AO36" t="s">
        <v>118</v>
      </c>
      <c r="AP36" t="s">
        <v>118</v>
      </c>
    </row>
    <row r="37" spans="1:42">
      <c r="A37" t="s">
        <v>41</v>
      </c>
      <c r="B37" t="s">
        <v>47</v>
      </c>
      <c r="C37">
        <v>-29.417999999999999</v>
      </c>
      <c r="D37">
        <v>1.4E-2</v>
      </c>
      <c r="E37">
        <v>-73.2</v>
      </c>
      <c r="F37">
        <v>0.02</v>
      </c>
      <c r="G37">
        <v>0.41399999999999998</v>
      </c>
      <c r="H37">
        <v>0.16500000000000001</v>
      </c>
      <c r="I37">
        <v>-4.3070000000000004</v>
      </c>
      <c r="J37">
        <v>0.56699999999999995</v>
      </c>
      <c r="O37">
        <v>0.80189249100000004</v>
      </c>
      <c r="P37">
        <v>1.2975363E-2</v>
      </c>
      <c r="Q37" t="s">
        <v>43</v>
      </c>
      <c r="AD37" t="s">
        <v>114</v>
      </c>
    </row>
    <row r="38" spans="1:42">
      <c r="A38" t="s">
        <v>41</v>
      </c>
      <c r="B38" t="s">
        <v>48</v>
      </c>
      <c r="C38">
        <v>-31.780999999999999</v>
      </c>
      <c r="D38">
        <v>8.0000000000000002E-3</v>
      </c>
      <c r="E38">
        <v>-92.040999999999997</v>
      </c>
      <c r="F38">
        <v>2.4E-2</v>
      </c>
      <c r="G38">
        <v>0.877</v>
      </c>
      <c r="H38">
        <v>0.16500000000000001</v>
      </c>
      <c r="I38">
        <v>-2.734</v>
      </c>
      <c r="J38">
        <v>0.63500000000000001</v>
      </c>
      <c r="O38">
        <v>0.70935332100000004</v>
      </c>
      <c r="P38">
        <v>3.0274823999999999E-2</v>
      </c>
      <c r="Q38" t="s">
        <v>43</v>
      </c>
      <c r="AD38" s="6" t="s">
        <v>104</v>
      </c>
    </row>
    <row r="39" spans="1:42">
      <c r="A39" t="s">
        <v>41</v>
      </c>
      <c r="B39" t="s">
        <v>49</v>
      </c>
      <c r="C39">
        <v>-28.143000000000001</v>
      </c>
      <c r="D39">
        <v>3.0000000000000001E-3</v>
      </c>
      <c r="E39">
        <v>-59.417000000000002</v>
      </c>
      <c r="F39">
        <v>1.7000000000000001E-2</v>
      </c>
      <c r="G39">
        <v>0.14099999999999999</v>
      </c>
      <c r="H39">
        <v>0.19700000000000001</v>
      </c>
      <c r="I39">
        <v>-4.9939999999999998</v>
      </c>
      <c r="J39">
        <v>0.57599999999999996</v>
      </c>
      <c r="O39">
        <v>0.66791358099999998</v>
      </c>
      <c r="P39">
        <v>1.080746E-2</v>
      </c>
      <c r="Q39" t="s">
        <v>43</v>
      </c>
      <c r="AD39" t="s">
        <v>105</v>
      </c>
      <c r="AE39">
        <v>0.98485</v>
      </c>
      <c r="AF39">
        <v>6.0000000000000002E-5</v>
      </c>
      <c r="AG39">
        <v>0.72650000000000003</v>
      </c>
      <c r="AH39">
        <v>1E-3</v>
      </c>
      <c r="AI39">
        <v>0.71409999999999996</v>
      </c>
      <c r="AJ39">
        <v>1.1000000000000001E-3</v>
      </c>
      <c r="AK39">
        <v>0.47570000000000001</v>
      </c>
      <c r="AL39">
        <v>2.3E-3</v>
      </c>
      <c r="AM39">
        <v>0.99809999999999999</v>
      </c>
      <c r="AN39">
        <v>1.6999999999999999E-3</v>
      </c>
      <c r="AO39">
        <v>0.90129999999999999</v>
      </c>
      <c r="AP39">
        <v>4.4999999999999997E-3</v>
      </c>
    </row>
    <row r="40" spans="1:42">
      <c r="A40" t="s">
        <v>41</v>
      </c>
      <c r="B40" t="s">
        <v>50</v>
      </c>
      <c r="C40">
        <v>-30.591000000000001</v>
      </c>
      <c r="D40">
        <v>3.0000000000000001E-3</v>
      </c>
      <c r="E40">
        <v>-87.01</v>
      </c>
      <c r="F40">
        <v>0.02</v>
      </c>
      <c r="G40">
        <v>1.08</v>
      </c>
      <c r="H40">
        <v>0.12</v>
      </c>
      <c r="I40">
        <v>-3.99</v>
      </c>
      <c r="J40">
        <v>0.5</v>
      </c>
      <c r="O40">
        <v>0.72632159600000001</v>
      </c>
      <c r="P40">
        <v>7.5234946999999996E-2</v>
      </c>
      <c r="Q40" t="s">
        <v>43</v>
      </c>
      <c r="AD40" t="s">
        <v>123</v>
      </c>
    </row>
    <row r="41" spans="1:42">
      <c r="A41" t="s">
        <v>41</v>
      </c>
      <c r="B41" t="s">
        <v>51</v>
      </c>
      <c r="C41">
        <v>-19.954999999999998</v>
      </c>
      <c r="D41">
        <v>5.0000000000000001E-3</v>
      </c>
      <c r="E41">
        <v>6.9870000000000001</v>
      </c>
      <c r="F41">
        <v>0.02</v>
      </c>
      <c r="G41">
        <v>-2.8650000000000002</v>
      </c>
      <c r="H41">
        <v>0.14799999999999999</v>
      </c>
      <c r="I41">
        <v>-19.149999999999999</v>
      </c>
      <c r="J41">
        <v>0.502</v>
      </c>
      <c r="O41">
        <v>0.48765111999999999</v>
      </c>
      <c r="P41">
        <v>5.0512619000000002E-2</v>
      </c>
      <c r="Q41" t="s">
        <v>43</v>
      </c>
      <c r="AD41" t="s">
        <v>124</v>
      </c>
    </row>
    <row r="42" spans="1:42">
      <c r="A42" t="s">
        <v>41</v>
      </c>
      <c r="B42" t="s">
        <v>52</v>
      </c>
      <c r="C42">
        <v>-10.695</v>
      </c>
      <c r="D42">
        <v>5.0000000000000001E-3</v>
      </c>
      <c r="E42">
        <v>96.042000000000002</v>
      </c>
      <c r="F42">
        <v>2.7E-2</v>
      </c>
      <c r="G42">
        <v>-5.4729999999999999</v>
      </c>
      <c r="H42">
        <v>0.13800000000000001</v>
      </c>
      <c r="I42">
        <v>-30.568000000000001</v>
      </c>
      <c r="J42">
        <v>0.58199999999999996</v>
      </c>
      <c r="O42">
        <v>0.37375238599999999</v>
      </c>
      <c r="P42">
        <v>3.8714587000000002E-2</v>
      </c>
      <c r="Q42" t="s">
        <v>43</v>
      </c>
      <c r="AD42" t="s">
        <v>112</v>
      </c>
      <c r="AE42">
        <v>0.97130000000000005</v>
      </c>
      <c r="AF42">
        <v>2.3999999999999998E-3</v>
      </c>
      <c r="AG42">
        <v>0.74519999999999997</v>
      </c>
      <c r="AH42">
        <v>2.0899999999999998E-2</v>
      </c>
      <c r="AI42">
        <v>0.72489999999999999</v>
      </c>
      <c r="AJ42">
        <v>2.2700000000000001E-2</v>
      </c>
      <c r="AK42">
        <v>0.52910000000000001</v>
      </c>
      <c r="AL42">
        <v>3.8699999999999998E-2</v>
      </c>
      <c r="AM42">
        <v>1.0015000000000001</v>
      </c>
      <c r="AN42">
        <v>4.2200000000000001E-2</v>
      </c>
      <c r="AO42">
        <v>0.95279999999999998</v>
      </c>
      <c r="AP42">
        <v>8.7800000000000003E-2</v>
      </c>
    </row>
    <row r="43" spans="1:42">
      <c r="A43" t="s">
        <v>41</v>
      </c>
      <c r="B43" t="s">
        <v>53</v>
      </c>
      <c r="C43">
        <v>-27.832999999999998</v>
      </c>
      <c r="D43">
        <v>3.0000000000000001E-3</v>
      </c>
      <c r="E43">
        <v>-63.89</v>
      </c>
      <c r="F43">
        <v>1.4999999999999999E-2</v>
      </c>
      <c r="G43">
        <v>-0.32900000000000001</v>
      </c>
      <c r="H43">
        <v>0.158</v>
      </c>
      <c r="I43">
        <v>-8.2889999999999997</v>
      </c>
      <c r="J43">
        <v>0.44400000000000001</v>
      </c>
      <c r="O43">
        <v>0.59275712000000003</v>
      </c>
      <c r="P43">
        <v>1.0863939E-2</v>
      </c>
      <c r="Q43" t="s">
        <v>43</v>
      </c>
      <c r="AD43" t="s">
        <v>113</v>
      </c>
      <c r="AE43">
        <v>0.97570000000000001</v>
      </c>
      <c r="AF43">
        <v>2.0000000000000001E-4</v>
      </c>
      <c r="AG43">
        <v>0.7742</v>
      </c>
      <c r="AH43">
        <v>2.2000000000000001E-3</v>
      </c>
      <c r="AI43">
        <v>0.75800000000000001</v>
      </c>
      <c r="AJ43">
        <v>2.3999999999999998E-3</v>
      </c>
      <c r="AK43">
        <v>0.58409999999999995</v>
      </c>
      <c r="AL43">
        <v>4.3E-3</v>
      </c>
      <c r="AM43">
        <v>1.0035000000000001</v>
      </c>
      <c r="AN43">
        <v>4.3E-3</v>
      </c>
      <c r="AO43">
        <v>0.97450000000000003</v>
      </c>
      <c r="AP43">
        <v>9.1000000000000004E-3</v>
      </c>
    </row>
    <row r="44" spans="1:42">
      <c r="A44" t="s">
        <v>41</v>
      </c>
      <c r="B44" t="s">
        <v>54</v>
      </c>
      <c r="C44">
        <v>-31.719000000000001</v>
      </c>
      <c r="D44">
        <v>8.9999999999999993E-3</v>
      </c>
      <c r="E44">
        <v>-95.284999999999997</v>
      </c>
      <c r="F44">
        <v>1.9E-2</v>
      </c>
      <c r="G44">
        <v>0.52900000000000003</v>
      </c>
      <c r="H44">
        <v>0.129</v>
      </c>
      <c r="I44">
        <v>-2.1440000000000001</v>
      </c>
      <c r="J44">
        <v>0.56999999999999995</v>
      </c>
      <c r="O44">
        <v>0.75051492900000005</v>
      </c>
      <c r="P44">
        <v>1.3755294E-2</v>
      </c>
      <c r="Q44" t="s">
        <v>43</v>
      </c>
      <c r="AD44" t="s">
        <v>106</v>
      </c>
    </row>
    <row r="45" spans="1:42">
      <c r="A45" t="s">
        <v>41</v>
      </c>
      <c r="B45" t="s">
        <v>55</v>
      </c>
      <c r="C45">
        <v>-11.449</v>
      </c>
      <c r="D45">
        <v>8.0000000000000002E-3</v>
      </c>
      <c r="E45">
        <v>82.802999999999997</v>
      </c>
      <c r="F45">
        <v>2.1999999999999999E-2</v>
      </c>
      <c r="G45">
        <v>-4.9180000000000001</v>
      </c>
      <c r="H45">
        <v>0.42899999999999999</v>
      </c>
      <c r="I45">
        <v>-30.12</v>
      </c>
      <c r="J45">
        <v>0.58799999999999997</v>
      </c>
      <c r="O45">
        <v>0.34613515099999997</v>
      </c>
      <c r="P45">
        <v>6.3438990000000001E-3</v>
      </c>
      <c r="Q45" t="s">
        <v>43</v>
      </c>
      <c r="AD45" t="s">
        <v>107</v>
      </c>
    </row>
    <row r="46" spans="1:42">
      <c r="A46" t="s">
        <v>41</v>
      </c>
      <c r="B46" t="s">
        <v>56</v>
      </c>
      <c r="C46">
        <v>-24.207999999999998</v>
      </c>
      <c r="D46">
        <v>5.0000000000000001E-3</v>
      </c>
      <c r="E46">
        <v>-32.558999999999997</v>
      </c>
      <c r="F46">
        <v>2.3E-2</v>
      </c>
      <c r="G46">
        <v>-1.61</v>
      </c>
      <c r="H46">
        <v>0.16700000000000001</v>
      </c>
      <c r="I46">
        <v>-14.776</v>
      </c>
      <c r="J46">
        <v>0.63</v>
      </c>
      <c r="O46">
        <v>0.52898579400000001</v>
      </c>
      <c r="P46">
        <v>9.6951510000000008E-3</v>
      </c>
      <c r="Q46" t="s">
        <v>43</v>
      </c>
      <c r="AD46" s="6" t="s">
        <v>119</v>
      </c>
      <c r="AE46">
        <v>0.997</v>
      </c>
      <c r="AF46" s="1" t="s">
        <v>121</v>
      </c>
      <c r="AG46">
        <v>0.73399999999999999</v>
      </c>
      <c r="AH46" s="1" t="s">
        <v>121</v>
      </c>
      <c r="AI46">
        <v>0.73199999999999998</v>
      </c>
      <c r="AJ46" s="1" t="s">
        <v>121</v>
      </c>
      <c r="AK46">
        <v>0.53900000000000003</v>
      </c>
      <c r="AL46" s="1" t="s">
        <v>121</v>
      </c>
      <c r="AM46" s="5">
        <f>AI46/AE46/AG46</f>
        <v>1.0002760324570441</v>
      </c>
      <c r="AN46" s="1" t="s">
        <v>121</v>
      </c>
      <c r="AO46" s="5">
        <f>AK46/AG46^2</f>
        <v>1.0004528951881744</v>
      </c>
      <c r="AP46" s="1" t="s">
        <v>121</v>
      </c>
    </row>
    <row r="47" spans="1:42">
      <c r="A47" t="s">
        <v>41</v>
      </c>
      <c r="B47" t="s">
        <v>57</v>
      </c>
      <c r="C47">
        <v>-7.2270000000000003</v>
      </c>
      <c r="D47">
        <v>4.0000000000000001E-3</v>
      </c>
      <c r="E47">
        <v>128.196</v>
      </c>
      <c r="F47">
        <v>3.2000000000000001E-2</v>
      </c>
      <c r="G47">
        <v>-8.1940000000000008</v>
      </c>
      <c r="H47">
        <v>0.13200000000000001</v>
      </c>
      <c r="I47">
        <v>-37.74</v>
      </c>
      <c r="J47">
        <v>0.58699999999999997</v>
      </c>
      <c r="O47">
        <v>0.28963113800000001</v>
      </c>
      <c r="P47">
        <v>5.3083039999999998E-3</v>
      </c>
      <c r="Q47" t="s">
        <v>43</v>
      </c>
      <c r="AD47" t="s">
        <v>120</v>
      </c>
    </row>
    <row r="49" spans="1:17">
      <c r="A49" t="s">
        <v>58</v>
      </c>
      <c r="B49" t="s">
        <v>59</v>
      </c>
      <c r="C49">
        <v>-37.570999999999998</v>
      </c>
      <c r="D49">
        <v>3.0000000000000001E-3</v>
      </c>
      <c r="E49">
        <v>-144.84399999999999</v>
      </c>
      <c r="F49">
        <v>2.1000000000000001E-2</v>
      </c>
      <c r="G49">
        <v>2.8540000000000001</v>
      </c>
      <c r="H49">
        <v>0.124</v>
      </c>
      <c r="I49">
        <v>7.5140000000000002</v>
      </c>
      <c r="J49">
        <v>0.65800000000000003</v>
      </c>
      <c r="O49">
        <v>1</v>
      </c>
      <c r="Q49" t="s">
        <v>60</v>
      </c>
    </row>
    <row r="50" spans="1:17">
      <c r="A50" t="s">
        <v>58</v>
      </c>
      <c r="B50" t="s">
        <v>61</v>
      </c>
      <c r="C50">
        <v>-36.051000000000002</v>
      </c>
      <c r="D50">
        <v>3.0000000000000001E-3</v>
      </c>
      <c r="E50">
        <v>-87.084999999999994</v>
      </c>
      <c r="F50">
        <v>1.7999999999999999E-2</v>
      </c>
      <c r="G50">
        <v>9.8190000000000008</v>
      </c>
      <c r="H50">
        <v>0.10100000000000001</v>
      </c>
      <c r="I50">
        <v>25.823</v>
      </c>
      <c r="J50">
        <v>0.50800000000000001</v>
      </c>
      <c r="O50">
        <v>0.64610000000000001</v>
      </c>
      <c r="Q50" t="s">
        <v>60</v>
      </c>
    </row>
    <row r="51" spans="1:17">
      <c r="A51" t="s">
        <v>58</v>
      </c>
      <c r="B51" t="s">
        <v>62</v>
      </c>
      <c r="C51">
        <v>-33.880000000000003</v>
      </c>
      <c r="D51">
        <v>4.0000000000000001E-3</v>
      </c>
      <c r="E51">
        <v>-42.707999999999998</v>
      </c>
      <c r="F51">
        <v>1.9E-2</v>
      </c>
      <c r="G51">
        <v>11.97</v>
      </c>
      <c r="H51">
        <v>0.11</v>
      </c>
      <c r="I51">
        <v>39.488999999999997</v>
      </c>
      <c r="J51">
        <v>0.49199999999999999</v>
      </c>
      <c r="O51">
        <v>0.47439999999999999</v>
      </c>
      <c r="Q51" t="s">
        <v>60</v>
      </c>
    </row>
    <row r="52" spans="1:17">
      <c r="A52" t="s">
        <v>58</v>
      </c>
      <c r="B52" t="s">
        <v>63</v>
      </c>
      <c r="C52">
        <v>-37.570999999999998</v>
      </c>
      <c r="D52">
        <v>3.0000000000000001E-3</v>
      </c>
      <c r="E52">
        <v>-144.84399999999999</v>
      </c>
      <c r="F52">
        <v>2.1000000000000001E-2</v>
      </c>
      <c r="G52">
        <v>2.8540000000000001</v>
      </c>
      <c r="H52">
        <v>0.124</v>
      </c>
      <c r="I52">
        <v>7.5140000000000002</v>
      </c>
      <c r="J52">
        <v>0.65800000000000003</v>
      </c>
      <c r="O52">
        <v>1</v>
      </c>
      <c r="Q52" t="s">
        <v>60</v>
      </c>
    </row>
    <row r="53" spans="1:17">
      <c r="A53" t="s">
        <v>58</v>
      </c>
      <c r="B53" t="s">
        <v>64</v>
      </c>
      <c r="C53">
        <v>-35.725999999999999</v>
      </c>
      <c r="D53">
        <v>4.0000000000000001E-3</v>
      </c>
      <c r="E53">
        <v>-71.436999999999998</v>
      </c>
      <c r="F53">
        <v>0.02</v>
      </c>
      <c r="G53">
        <v>9.4339999999999993</v>
      </c>
      <c r="H53">
        <v>0.105</v>
      </c>
      <c r="I53">
        <v>31.199000000000002</v>
      </c>
      <c r="J53">
        <v>0.52100000000000002</v>
      </c>
      <c r="O53">
        <v>0.57699999999999996</v>
      </c>
      <c r="Q53" t="s">
        <v>60</v>
      </c>
    </row>
    <row r="54" spans="1:17">
      <c r="A54" t="s">
        <v>58</v>
      </c>
      <c r="B54" t="s">
        <v>65</v>
      </c>
      <c r="C54">
        <v>-33.664000000000001</v>
      </c>
      <c r="D54">
        <v>4.0000000000000001E-3</v>
      </c>
      <c r="E54">
        <v>-25.315999999999999</v>
      </c>
      <c r="F54">
        <v>2.3E-2</v>
      </c>
      <c r="G54">
        <v>13.968999999999999</v>
      </c>
      <c r="H54">
        <v>0.11600000000000001</v>
      </c>
      <c r="I54">
        <v>45.518999999999998</v>
      </c>
      <c r="J54">
        <v>0.55700000000000005</v>
      </c>
      <c r="O54">
        <v>0.4118</v>
      </c>
      <c r="Q54" t="s">
        <v>60</v>
      </c>
    </row>
    <row r="55" spans="1:17">
      <c r="A55" t="s">
        <v>58</v>
      </c>
      <c r="B55" t="s">
        <v>66</v>
      </c>
      <c r="C55">
        <v>-37.875</v>
      </c>
      <c r="D55">
        <v>3.0000000000000001E-3</v>
      </c>
      <c r="E55">
        <v>-144.542</v>
      </c>
      <c r="F55">
        <v>0.02</v>
      </c>
      <c r="G55">
        <v>3.0379999999999998</v>
      </c>
      <c r="H55">
        <v>0.17899999999999999</v>
      </c>
      <c r="I55">
        <v>7.5019999999999998</v>
      </c>
      <c r="J55">
        <v>0.65200000000000002</v>
      </c>
      <c r="O55">
        <v>1</v>
      </c>
      <c r="Q55" t="s">
        <v>60</v>
      </c>
    </row>
    <row r="56" spans="1:17">
      <c r="A56" t="s">
        <v>58</v>
      </c>
      <c r="B56" t="s">
        <v>67</v>
      </c>
      <c r="C56">
        <v>-33.805999999999997</v>
      </c>
      <c r="D56">
        <v>3.0000000000000001E-3</v>
      </c>
      <c r="E56">
        <v>-32.454999999999998</v>
      </c>
      <c r="F56">
        <v>2.1999999999999999E-2</v>
      </c>
      <c r="G56">
        <v>12.670999999999999</v>
      </c>
      <c r="H56">
        <v>0.113</v>
      </c>
      <c r="I56">
        <v>40.744999999999997</v>
      </c>
      <c r="J56">
        <v>0.53800000000000003</v>
      </c>
      <c r="O56">
        <v>0.45479999999999998</v>
      </c>
      <c r="Q56" t="s">
        <v>60</v>
      </c>
    </row>
    <row r="57" spans="1:17">
      <c r="A57" t="s">
        <v>58</v>
      </c>
      <c r="B57" t="s">
        <v>68</v>
      </c>
      <c r="C57">
        <v>-31.504000000000001</v>
      </c>
      <c r="D57">
        <v>3.0000000000000001E-3</v>
      </c>
      <c r="E57">
        <v>10.831</v>
      </c>
      <c r="F57">
        <v>2.1000000000000001E-2</v>
      </c>
      <c r="G57">
        <v>16.111000000000001</v>
      </c>
      <c r="H57">
        <v>0.14699999999999999</v>
      </c>
      <c r="I57">
        <v>52.966999999999999</v>
      </c>
      <c r="J57">
        <v>0.62</v>
      </c>
      <c r="O57">
        <v>0.34710000000000002</v>
      </c>
      <c r="Q57" t="s">
        <v>60</v>
      </c>
    </row>
    <row r="58" spans="1:17">
      <c r="A58" t="s">
        <v>58</v>
      </c>
      <c r="B58" t="s">
        <v>69</v>
      </c>
      <c r="C58">
        <v>-28.234000000000002</v>
      </c>
      <c r="D58">
        <v>5.0000000000000001E-3</v>
      </c>
      <c r="E58">
        <v>50.883000000000003</v>
      </c>
      <c r="F58">
        <v>2.3E-2</v>
      </c>
      <c r="G58">
        <v>19.477</v>
      </c>
      <c r="H58">
        <v>0.254</v>
      </c>
      <c r="I58">
        <v>65.08</v>
      </c>
      <c r="J58">
        <v>0.66900000000000004</v>
      </c>
      <c r="O58">
        <v>0.26029999999999998</v>
      </c>
      <c r="Q58" t="s">
        <v>60</v>
      </c>
    </row>
    <row r="60" spans="1:17">
      <c r="A60" t="s">
        <v>70</v>
      </c>
      <c r="C60">
        <v>-39.93</v>
      </c>
      <c r="D60">
        <v>6.0000000000000001E-3</v>
      </c>
      <c r="E60">
        <v>-147.79</v>
      </c>
      <c r="F60">
        <v>3.7999999999999999E-2</v>
      </c>
      <c r="G60">
        <v>2.27</v>
      </c>
      <c r="H60">
        <v>0.22</v>
      </c>
      <c r="I60">
        <v>6.11</v>
      </c>
      <c r="J60">
        <v>1</v>
      </c>
      <c r="O60">
        <v>1</v>
      </c>
      <c r="Q60" t="s">
        <v>71</v>
      </c>
    </row>
    <row r="61" spans="1:17">
      <c r="A61" t="s">
        <v>70</v>
      </c>
      <c r="C61">
        <v>-30.11</v>
      </c>
      <c r="D61">
        <v>4.0000000000000001E-3</v>
      </c>
      <c r="E61">
        <v>21.37</v>
      </c>
      <c r="F61">
        <v>2.8000000000000001E-2</v>
      </c>
      <c r="G61">
        <v>1.1000000000000001</v>
      </c>
      <c r="H61">
        <v>0.15</v>
      </c>
      <c r="I61">
        <v>-6.14</v>
      </c>
      <c r="J61">
        <v>0.77</v>
      </c>
      <c r="O61">
        <v>0.51680000000000004</v>
      </c>
      <c r="Q61" t="s">
        <v>71</v>
      </c>
    </row>
    <row r="62" spans="1:17">
      <c r="A62" t="s">
        <v>70</v>
      </c>
      <c r="C62">
        <v>-30.07</v>
      </c>
      <c r="D62">
        <v>6.0000000000000001E-3</v>
      </c>
      <c r="E62">
        <v>21.31</v>
      </c>
      <c r="F62">
        <v>2.9000000000000001E-2</v>
      </c>
      <c r="G62">
        <v>1.1000000000000001</v>
      </c>
      <c r="H62">
        <v>0.15</v>
      </c>
      <c r="I62">
        <v>-4.28</v>
      </c>
      <c r="J62">
        <v>0.98</v>
      </c>
      <c r="O62">
        <v>0.51959999999999995</v>
      </c>
      <c r="Q62" t="s">
        <v>71</v>
      </c>
    </row>
    <row r="63" spans="1:17">
      <c r="A63" t="s">
        <v>70</v>
      </c>
      <c r="C63">
        <v>-30.37</v>
      </c>
      <c r="D63">
        <v>1.4E-2</v>
      </c>
      <c r="E63">
        <v>21.04</v>
      </c>
      <c r="F63">
        <v>0.02</v>
      </c>
      <c r="G63">
        <v>1.46</v>
      </c>
      <c r="H63">
        <v>0.4</v>
      </c>
      <c r="I63">
        <v>5.79</v>
      </c>
      <c r="J63">
        <v>0.56000000000000005</v>
      </c>
      <c r="O63">
        <v>0.51559999999999995</v>
      </c>
      <c r="Q63" t="s">
        <v>71</v>
      </c>
    </row>
    <row r="64" spans="1:17">
      <c r="A64" t="s">
        <v>70</v>
      </c>
      <c r="C64">
        <v>-37.409999999999997</v>
      </c>
      <c r="D64">
        <v>4.0000000000000001E-3</v>
      </c>
      <c r="E64">
        <v>-145.01</v>
      </c>
      <c r="F64">
        <v>2.1000000000000001E-2</v>
      </c>
      <c r="G64">
        <v>3.08</v>
      </c>
      <c r="H64">
        <v>0.13</v>
      </c>
      <c r="I64">
        <v>6.42</v>
      </c>
      <c r="J64">
        <v>0.7</v>
      </c>
      <c r="O64">
        <v>1</v>
      </c>
      <c r="Q64" t="s">
        <v>71</v>
      </c>
    </row>
    <row r="65" spans="1:17">
      <c r="A65" t="s">
        <v>70</v>
      </c>
      <c r="C65">
        <v>-36.47</v>
      </c>
      <c r="D65">
        <v>6.0000000000000001E-3</v>
      </c>
      <c r="E65">
        <v>-123.23</v>
      </c>
      <c r="F65">
        <v>2.1000000000000001E-2</v>
      </c>
      <c r="G65">
        <v>2.33</v>
      </c>
      <c r="H65">
        <v>0.13</v>
      </c>
      <c r="I65">
        <v>7.14</v>
      </c>
      <c r="J65">
        <v>0.76</v>
      </c>
      <c r="O65">
        <v>0.96879999999999999</v>
      </c>
      <c r="Q65" t="s">
        <v>71</v>
      </c>
    </row>
    <row r="66" spans="1:17">
      <c r="A66" t="s">
        <v>70</v>
      </c>
      <c r="C66">
        <v>-34.590000000000003</v>
      </c>
      <c r="D66">
        <v>5.0000000000000001E-3</v>
      </c>
      <c r="E66">
        <v>-76.739999999999995</v>
      </c>
      <c r="F66">
        <v>2.5000000000000001E-2</v>
      </c>
      <c r="G66">
        <v>1.97</v>
      </c>
      <c r="H66">
        <v>0.2</v>
      </c>
      <c r="I66">
        <v>3.9</v>
      </c>
      <c r="J66">
        <v>0.89</v>
      </c>
      <c r="O66">
        <v>0.73560000000000003</v>
      </c>
      <c r="Q66" t="s">
        <v>71</v>
      </c>
    </row>
    <row r="67" spans="1:17">
      <c r="A67" t="s">
        <v>70</v>
      </c>
      <c r="C67">
        <v>-33.29</v>
      </c>
      <c r="D67">
        <v>5.0000000000000001E-3</v>
      </c>
      <c r="E67">
        <v>-51.79</v>
      </c>
      <c r="F67">
        <v>2.1999999999999999E-2</v>
      </c>
      <c r="G67">
        <v>1.67</v>
      </c>
      <c r="H67">
        <v>0.18</v>
      </c>
      <c r="I67">
        <v>2.5299999999999998</v>
      </c>
      <c r="J67">
        <v>0.6</v>
      </c>
      <c r="O67">
        <v>0.67330000000000001</v>
      </c>
      <c r="Q67" t="s">
        <v>71</v>
      </c>
    </row>
    <row r="68" spans="1:17">
      <c r="A68" t="s">
        <v>70</v>
      </c>
      <c r="C68">
        <v>-31.22</v>
      </c>
      <c r="D68">
        <v>4.0000000000000001E-3</v>
      </c>
      <c r="E68">
        <v>-3.17</v>
      </c>
      <c r="F68">
        <v>2.1000000000000001E-2</v>
      </c>
      <c r="G68">
        <v>0.7</v>
      </c>
      <c r="H68">
        <v>0.12</v>
      </c>
      <c r="I68">
        <v>-5.35</v>
      </c>
      <c r="J68">
        <v>0.67</v>
      </c>
      <c r="O68">
        <v>0.61140000000000005</v>
      </c>
      <c r="Q68" t="s">
        <v>71</v>
      </c>
    </row>
    <row r="69" spans="1:17">
      <c r="A69" t="s">
        <v>70</v>
      </c>
      <c r="C69">
        <v>-31.15</v>
      </c>
      <c r="D69">
        <v>4.0000000000000001E-3</v>
      </c>
      <c r="E69">
        <v>-2.14</v>
      </c>
      <c r="F69">
        <v>2.3E-2</v>
      </c>
      <c r="G69">
        <v>1.4</v>
      </c>
      <c r="H69">
        <v>0.12</v>
      </c>
      <c r="I69">
        <v>-6.65</v>
      </c>
      <c r="J69">
        <v>0.67</v>
      </c>
      <c r="O69">
        <v>0.57010000000000005</v>
      </c>
      <c r="Q69" t="s">
        <v>71</v>
      </c>
    </row>
    <row r="71" spans="1:17">
      <c r="A71" t="s">
        <v>72</v>
      </c>
      <c r="C71">
        <v>-38.270000000000003</v>
      </c>
      <c r="D71">
        <v>3.8269999999999998E-2</v>
      </c>
      <c r="E71">
        <v>-150.12</v>
      </c>
      <c r="F71">
        <v>0.15012</v>
      </c>
      <c r="G71">
        <v>2.61</v>
      </c>
      <c r="H71">
        <v>0.43</v>
      </c>
      <c r="O71">
        <v>1</v>
      </c>
      <c r="P71">
        <v>0.05</v>
      </c>
      <c r="Q71" t="s">
        <v>73</v>
      </c>
    </row>
    <row r="72" spans="1:17">
      <c r="A72" t="s">
        <v>72</v>
      </c>
      <c r="C72">
        <v>-37.94</v>
      </c>
      <c r="D72">
        <v>3.7940000000000002E-2</v>
      </c>
      <c r="E72">
        <v>-147.19999999999999</v>
      </c>
      <c r="F72">
        <v>0.1472</v>
      </c>
      <c r="G72">
        <v>2.66</v>
      </c>
      <c r="H72">
        <v>0.34</v>
      </c>
      <c r="O72">
        <v>0.95</v>
      </c>
      <c r="P72">
        <v>7.0000000000000007E-2</v>
      </c>
      <c r="Q72" t="s">
        <v>73</v>
      </c>
    </row>
    <row r="73" spans="1:17">
      <c r="A73" t="s">
        <v>72</v>
      </c>
      <c r="C73">
        <v>-33.31</v>
      </c>
      <c r="D73">
        <v>3.3309999999999999E-2</v>
      </c>
      <c r="E73">
        <v>-111.79</v>
      </c>
      <c r="F73">
        <v>0.11179</v>
      </c>
      <c r="G73">
        <v>1.36</v>
      </c>
      <c r="H73">
        <v>0.34</v>
      </c>
      <c r="O73">
        <v>0.84</v>
      </c>
      <c r="P73">
        <v>0.06</v>
      </c>
      <c r="Q73" t="s">
        <v>73</v>
      </c>
    </row>
    <row r="74" spans="1:17">
      <c r="A74" t="s">
        <v>72</v>
      </c>
      <c r="C74">
        <v>-24</v>
      </c>
      <c r="D74">
        <v>2.4E-2</v>
      </c>
      <c r="E74">
        <v>-33.36</v>
      </c>
      <c r="F74">
        <v>3.3360000000000001E-2</v>
      </c>
      <c r="G74">
        <v>-0.01</v>
      </c>
      <c r="H74">
        <v>0.6</v>
      </c>
      <c r="O74">
        <v>0.22</v>
      </c>
      <c r="P74">
        <v>0.02</v>
      </c>
      <c r="Q74" t="s">
        <v>73</v>
      </c>
    </row>
    <row r="75" spans="1:17">
      <c r="A75" t="s">
        <v>72</v>
      </c>
      <c r="C75">
        <v>-8.81</v>
      </c>
      <c r="D75">
        <v>8.8100000000000001E-3</v>
      </c>
      <c r="E75">
        <v>123.9</v>
      </c>
      <c r="F75">
        <v>0.1239</v>
      </c>
      <c r="G75">
        <v>-1.48</v>
      </c>
      <c r="H75">
        <v>0.6</v>
      </c>
      <c r="O75">
        <v>0.1</v>
      </c>
      <c r="P75">
        <v>0.01</v>
      </c>
      <c r="Q75" t="s">
        <v>73</v>
      </c>
    </row>
    <row r="76" spans="1:17">
      <c r="A76" t="s">
        <v>72</v>
      </c>
      <c r="C76">
        <v>-39.06</v>
      </c>
      <c r="D76">
        <v>3.9059999999999997E-2</v>
      </c>
      <c r="E76">
        <v>-163.57</v>
      </c>
      <c r="F76">
        <v>0.16356999999999999</v>
      </c>
      <c r="G76">
        <v>2.17</v>
      </c>
      <c r="H76">
        <v>0.59</v>
      </c>
      <c r="O76">
        <v>1</v>
      </c>
      <c r="P76">
        <v>0.05</v>
      </c>
      <c r="Q76" t="s">
        <v>73</v>
      </c>
    </row>
    <row r="77" spans="1:17">
      <c r="A77" t="s">
        <v>72</v>
      </c>
      <c r="C77">
        <v>-36.450000000000003</v>
      </c>
      <c r="D77">
        <v>3.6450000000000003E-2</v>
      </c>
      <c r="E77">
        <v>-144.22999999999999</v>
      </c>
      <c r="F77">
        <v>0.14423</v>
      </c>
      <c r="G77">
        <v>1.82</v>
      </c>
      <c r="H77">
        <v>0.53</v>
      </c>
      <c r="O77">
        <v>0.95</v>
      </c>
      <c r="P77">
        <v>7.0000000000000007E-2</v>
      </c>
      <c r="Q77" t="s">
        <v>73</v>
      </c>
    </row>
    <row r="78" spans="1:17">
      <c r="A78" t="s">
        <v>72</v>
      </c>
      <c r="C78">
        <v>-29.68</v>
      </c>
      <c r="D78">
        <v>2.9680000000000002E-2</v>
      </c>
      <c r="E78">
        <v>-88.51</v>
      </c>
      <c r="F78">
        <v>8.8510000000000005E-2</v>
      </c>
      <c r="G78">
        <v>-0.48</v>
      </c>
      <c r="H78">
        <v>0.3</v>
      </c>
      <c r="O78">
        <v>0.57999999999999996</v>
      </c>
      <c r="P78">
        <v>0.04</v>
      </c>
      <c r="Q78" t="s">
        <v>73</v>
      </c>
    </row>
    <row r="79" spans="1:17">
      <c r="A79" t="s">
        <v>72</v>
      </c>
      <c r="C79">
        <v>-20.95</v>
      </c>
      <c r="D79">
        <v>2.095E-2</v>
      </c>
      <c r="E79">
        <v>-9.1999999999999993</v>
      </c>
      <c r="F79">
        <v>9.1999999999999998E-3</v>
      </c>
      <c r="G79">
        <v>-1.82</v>
      </c>
      <c r="H79">
        <v>0.36</v>
      </c>
      <c r="O79">
        <v>0.47</v>
      </c>
      <c r="P79">
        <v>0.03</v>
      </c>
      <c r="Q79" t="s">
        <v>73</v>
      </c>
    </row>
    <row r="80" spans="1:17">
      <c r="A80" t="s">
        <v>72</v>
      </c>
      <c r="C80">
        <v>-16.39</v>
      </c>
      <c r="D80">
        <v>1.6389999999999998E-2</v>
      </c>
      <c r="E80">
        <v>36.83</v>
      </c>
      <c r="F80">
        <v>3.6830000000000002E-2</v>
      </c>
      <c r="G80">
        <v>-1.87</v>
      </c>
      <c r="H80">
        <v>0.38</v>
      </c>
      <c r="O80">
        <v>0.36</v>
      </c>
      <c r="P80">
        <v>0.03</v>
      </c>
      <c r="Q80" t="s">
        <v>73</v>
      </c>
    </row>
  </sheetData>
  <pageMargins left="0.75" right="0.75" top="1" bottom="1" header="0.5" footer="0.5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isotope_data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javin li</dc:creator>
  <cp:lastModifiedBy>javin li</cp:lastModifiedBy>
  <dcterms:created xsi:type="dcterms:W3CDTF">2025-11-17T23:15:16Z</dcterms:created>
  <dcterms:modified xsi:type="dcterms:W3CDTF">2025-11-20T21:21:07Z</dcterms:modified>
</cp:coreProperties>
</file>