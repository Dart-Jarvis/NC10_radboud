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ate1904="1" defaultThemeVersion="153222"/>
  <mc:AlternateContent xmlns:mc="http://schemas.openxmlformats.org/markup-compatibility/2006">
    <mc:Choice Requires="x15">
      <x15ac:absPath xmlns:x15ac="http://schemas.microsoft.com/office/spreadsheetml/2010/11/ac" url="C:\Users\PA001.PA001-PC\Desktop\Reduced_data\Data_Summaries\"/>
    </mc:Choice>
  </mc:AlternateContent>
  <bookViews>
    <workbookView xWindow="0" yWindow="0" windowWidth="7410" windowHeight="6345" tabRatio="602"/>
  </bookViews>
  <sheets>
    <sheet name="Sample summary" sheetId="1" r:id="rId1"/>
    <sheet name="Zero tests" sheetId="2" r:id="rId2"/>
    <sheet name="plot" sheetId="3" r:id="rId3"/>
  </sheets>
  <definedNames>
    <definedName name="_xlnm._FilterDatabase" localSheetId="0" hidden="1">'Sample summary'!$3:$61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80" i="1" l="1"/>
  <c r="S13" i="2"/>
  <c r="R13" i="2"/>
  <c r="Q13" i="2"/>
  <c r="S11" i="2"/>
  <c r="S10" i="2"/>
  <c r="S9" i="2"/>
  <c r="S3" i="2"/>
  <c r="S2" i="2"/>
  <c r="S12" i="2"/>
  <c r="Q12" i="2"/>
  <c r="R12" i="2"/>
  <c r="R11" i="2"/>
  <c r="Q11" i="2"/>
  <c r="Q3" i="2"/>
  <c r="Q5" i="2"/>
  <c r="Q7" i="2"/>
  <c r="Q8" i="2"/>
  <c r="Q6" i="2"/>
  <c r="R9" i="2"/>
  <c r="Q9" i="2"/>
  <c r="R3" i="2"/>
  <c r="R2" i="2"/>
  <c r="Q2" i="2"/>
  <c r="R10" i="2"/>
  <c r="Q10" i="2"/>
  <c r="X87" i="1"/>
  <c r="W87" i="1"/>
  <c r="X86" i="1"/>
  <c r="W86" i="1"/>
  <c r="W83" i="1"/>
  <c r="W82" i="1"/>
  <c r="W76" i="1"/>
  <c r="X49" i="1"/>
  <c r="W49" i="1"/>
  <c r="X57" i="1"/>
  <c r="W57" i="1"/>
  <c r="X58" i="1"/>
  <c r="W58" i="1"/>
  <c r="X61" i="1"/>
  <c r="W61" i="1"/>
  <c r="X60" i="1"/>
  <c r="W60" i="1"/>
  <c r="X68" i="1"/>
  <c r="W68" i="1"/>
  <c r="W63" i="1"/>
  <c r="W64" i="1"/>
  <c r="X67" i="1"/>
  <c r="W67" i="1"/>
  <c r="X66" i="1"/>
  <c r="X65" i="1"/>
  <c r="W66" i="1"/>
  <c r="W65" i="1"/>
</calcChain>
</file>

<file path=xl/sharedStrings.xml><?xml version="1.0" encoding="utf-8"?>
<sst xmlns="http://schemas.openxmlformats.org/spreadsheetml/2006/main" count="2116" uniqueCount="1532">
  <si>
    <t>Mass spec run no.</t>
  </si>
  <si>
    <t xml:space="preserve">Sample no. </t>
  </si>
  <si>
    <t>Description</t>
  </si>
  <si>
    <t>1 se</t>
  </si>
  <si>
    <t>Notes</t>
  </si>
  <si>
    <t>dD SMOW</t>
  </si>
  <si>
    <t>Sample 0001</t>
  </si>
  <si>
    <t>December 16, UCLA-1 extracted with syringe from a vile with ~0.5 cc of liquid H2O present, cleaned with eth+dry ice</t>
  </si>
  <si>
    <r>
      <t>D</t>
    </r>
    <r>
      <rPr>
        <b/>
        <vertAlign val="superscript"/>
        <sz val="10"/>
        <color theme="1"/>
        <rFont val="Calibri"/>
        <family val="2"/>
        <scheme val="minor"/>
      </rPr>
      <t>13</t>
    </r>
    <r>
      <rPr>
        <b/>
        <sz val="10"/>
        <color theme="1"/>
        <rFont val="Calibri"/>
        <family val="2"/>
        <scheme val="minor"/>
      </rPr>
      <t>CH</t>
    </r>
    <r>
      <rPr>
        <b/>
        <vertAlign val="subscript"/>
        <sz val="10"/>
        <color theme="1"/>
        <rFont val="Calibri"/>
        <family val="2"/>
        <scheme val="minor"/>
      </rPr>
      <t>3</t>
    </r>
    <r>
      <rPr>
        <b/>
        <sz val="10"/>
        <color theme="1"/>
        <rFont val="Calibri"/>
        <family val="2"/>
        <scheme val="minor"/>
      </rPr>
      <t>D</t>
    </r>
  </si>
  <si>
    <r>
      <t>D</t>
    </r>
    <r>
      <rPr>
        <b/>
        <vertAlign val="superscript"/>
        <sz val="10"/>
        <color theme="1"/>
        <rFont val="Calibri"/>
        <family val="2"/>
        <scheme val="minor"/>
      </rPr>
      <t>12</t>
    </r>
    <r>
      <rPr>
        <b/>
        <sz val="10"/>
        <color theme="1"/>
        <rFont val="Calibri"/>
        <family val="2"/>
        <scheme val="minor"/>
      </rPr>
      <t>CH</t>
    </r>
    <r>
      <rPr>
        <b/>
        <vertAlign val="subscript"/>
        <sz val="10"/>
        <color theme="1"/>
        <rFont val="Calibri"/>
        <family val="2"/>
        <scheme val="minor"/>
      </rPr>
      <t>2</t>
    </r>
    <r>
      <rPr>
        <b/>
        <sz val="10"/>
        <color theme="1"/>
        <rFont val="Calibri"/>
        <family val="2"/>
        <scheme val="minor"/>
      </rPr>
      <t>D</t>
    </r>
    <r>
      <rPr>
        <b/>
        <vertAlign val="subscript"/>
        <sz val="10"/>
        <color theme="1"/>
        <rFont val="Calibri"/>
        <family val="2"/>
        <scheme val="minor"/>
      </rPr>
      <t>2</t>
    </r>
  </si>
  <si>
    <r>
      <t>d</t>
    </r>
    <r>
      <rPr>
        <b/>
        <vertAlign val="superscript"/>
        <sz val="10"/>
        <color theme="1"/>
        <rFont val="Calibri"/>
        <family val="2"/>
        <scheme val="minor"/>
      </rPr>
      <t>13</t>
    </r>
    <r>
      <rPr>
        <b/>
        <sz val="10"/>
        <color theme="1"/>
        <rFont val="Calibri"/>
        <family val="2"/>
        <scheme val="minor"/>
      </rPr>
      <t>C PDB</t>
    </r>
  </si>
  <si>
    <t>Sample 0002</t>
  </si>
  <si>
    <t>December 18, 2015, Kidd Creek 78502, smpl run number 0002, FIRST REAL SAMPLE! (19.09.2013_KC_7850L_12287A (C)</t>
  </si>
  <si>
    <t>SAMPLE 0003</t>
  </si>
  <si>
    <t>December 18, 2015, Kidd Creek 78502, smpl run number 0003, SECOND REAL SAMPLE!</t>
  </si>
  <si>
    <t>December 19, 2015, Kidd Creek 78502, smpl run number 0003, SECOND REAL SAMPLE!</t>
  </si>
  <si>
    <t>SAMPLE 0004</t>
  </si>
  <si>
    <t>December 21, 2015, Sabatier rxn products T1 (A-D combined), Etiope</t>
  </si>
  <si>
    <t>December 22, 2015, Sabatier rxn products T1 (A-D combined), Etiope</t>
  </si>
  <si>
    <t>SAMPLE 0005</t>
  </si>
  <si>
    <t>December 28, Rumble/Carnegie sample, smpl 0005, 300oC</t>
  </si>
  <si>
    <t>SAMPLE 0006</t>
  </si>
  <si>
    <t>December 29, 2015, Geophysical Lab CH4 produced at 600 deg C by rxn Si5C12H36 + 10 H2O = 5SiO2 +12CH4 + 4H2</t>
  </si>
  <si>
    <t>SAMPLE 0007</t>
  </si>
  <si>
    <t>SAMPLE 0008</t>
  </si>
  <si>
    <t>Jan 4, 2016, Geophysical Lab CH4 produced at 500 deg C (tetrakis number 2) by rxn Si5C12H36 + 10 H2O = 5SiO2 +12CH4 + 4H2</t>
  </si>
  <si>
    <t>January 6, 2016, Tetrakis 400oC, sample 0009, 130 micromoles, sample probably mishandled at GL (DR says)</t>
  </si>
  <si>
    <t>Sample 0010</t>
  </si>
  <si>
    <t>January 7, 2016, 400oC tetrakis silane CH4 formation, sample 0010</t>
  </si>
  <si>
    <t>Sample 0011</t>
  </si>
  <si>
    <t>January 9, 2016  Chimera G1 from Etiope - a lot of air and CO2 in sample</t>
  </si>
  <si>
    <t>Sample 0012</t>
  </si>
  <si>
    <t>January 11, MM5.1940FW29062012 from Toronto, microbial CH4</t>
  </si>
  <si>
    <t>Sample 0013</t>
  </si>
  <si>
    <t>January 13, 2016, South African (Beatrix mine, Witwatersrand Basin) sample BE326 from Toronto, 90% microbial (Slater et al.)</t>
  </si>
  <si>
    <t>Sample 0014</t>
  </si>
  <si>
    <t>January 14, G2, Chimaera (Etiope)</t>
  </si>
  <si>
    <t>Sample 0015</t>
  </si>
  <si>
    <t>Janauary 15, 2016:  KCL9500 (Toronto) (BHY13762 (A)</t>
  </si>
  <si>
    <t>Sample 0017</t>
  </si>
  <si>
    <t>Sample 0018</t>
  </si>
  <si>
    <t>January 21, 2016, KCL 9500 BH13684D</t>
  </si>
  <si>
    <t>Sample 0019</t>
  </si>
  <si>
    <t>January 23, 2016.  G3 Chimaera (Etiope)</t>
  </si>
  <si>
    <t>Sample 0020</t>
  </si>
  <si>
    <t>January 25, 2016, UCLA-1 heated to 600 C for 51 hours</t>
  </si>
  <si>
    <t>Sample 0021</t>
  </si>
  <si>
    <t>Jan 27, 2016, UCLA-1 injected by needle to GC, new sample tube</t>
  </si>
  <si>
    <t>Sample 0022</t>
  </si>
  <si>
    <t>January 29, 2016 UCLA-2 400C equilibration, 2 days</t>
  </si>
  <si>
    <t>Sample 0023</t>
  </si>
  <si>
    <t>January 31, 2016, 500 deg C UCLA-1 48 hours</t>
  </si>
  <si>
    <t>Sample 0024</t>
  </si>
  <si>
    <t>February 2, 2016, TT109 080212 (F)  (Toronto)</t>
  </si>
  <si>
    <t>Sample 0025</t>
  </si>
  <si>
    <t>February 4, 2016, USGS Beecher Island II TNK 1, Denver basin</t>
  </si>
  <si>
    <t>Sample 0026</t>
  </si>
  <si>
    <t>February 5, 2016, Utica Primary #1 (Shell)</t>
  </si>
  <si>
    <t>Sample 0027</t>
  </si>
  <si>
    <t>Feb 7, 2016, UCLA2 heated to 400C on platinum, approx. 4 days and 13 hours</t>
  </si>
  <si>
    <t>Sample 0028</t>
  </si>
  <si>
    <t>Feb 9, 2016, sample 0028,  TT107W, 100 umol</t>
  </si>
  <si>
    <t>Sample 0029</t>
  </si>
  <si>
    <t>February 10, 2016, 300C UCLA-1, 6 days, 12.5 hrs, 240 umoles</t>
  </si>
  <si>
    <t>Sample 0030</t>
  </si>
  <si>
    <t>February 10, 2016, smple 0030, 500C heated UCLA-1, 194 umoles</t>
  </si>
  <si>
    <t>Sample 0031</t>
  </si>
  <si>
    <t>February 13, 2016, KL 445 gas GB S-L, Witwatersand Basin Kloof Mine, from Barbara S-L</t>
  </si>
  <si>
    <t>Sample 0032</t>
  </si>
  <si>
    <t>February 16, 2016, 06.11.2007_BT_3900_9167N_BH (floor #2) (B)</t>
  </si>
  <si>
    <t>Sample 0033</t>
  </si>
  <si>
    <t>February 16, 2016: Re-equilibrated sample KCL9500 (Toronto) (BHY13762 (A)) at 400C with pt 72 hrs</t>
  </si>
  <si>
    <t>Sample 0034</t>
  </si>
  <si>
    <t>February 19, Shell Marcellus Primary MS2</t>
  </si>
  <si>
    <t>Sample 0035</t>
  </si>
  <si>
    <t>February 20, KCL9500 A 300C + pt for 6 days</t>
  </si>
  <si>
    <t>Sample 0036</t>
  </si>
  <si>
    <t>February 22, 2016, KC 9500.14.06…. D  heated to 400C, 4 days</t>
  </si>
  <si>
    <t>Sample 0037</t>
  </si>
  <si>
    <t xml:space="preserve">Feb 23, 2016, Tetrakis 400C no catalyst, #1 </t>
  </si>
  <si>
    <t>Sample 0038</t>
  </si>
  <si>
    <t>Feb. 24 2016, Tetrakis silane 600C 9-0102016 no cat</t>
  </si>
  <si>
    <t>Sample 0039</t>
  </si>
  <si>
    <t>Feb. 26 2016, Tetrakis 500C wout/cat 1-12-2016</t>
  </si>
  <si>
    <t>Sample 0041</t>
  </si>
  <si>
    <t>March 1, KC L9500-BHY 13762D_16_01-13</t>
  </si>
  <si>
    <t>Sample 0042</t>
  </si>
  <si>
    <t>March 3, 2016 UCLA1 through the GC, test if d13C is all of a sudden off</t>
  </si>
  <si>
    <t>Sample 0045</t>
  </si>
  <si>
    <t>March 12, 2016, UCLA-2 + C2H6 through the GC</t>
  </si>
  <si>
    <t>Sample 0046</t>
  </si>
  <si>
    <t>March 14, 2016, zero for UCLA2 after ethane in the line, no ethane in the sample</t>
  </si>
  <si>
    <t>November 18, 2015 - First CH4 sample from GC/vacuum line:  UCLA-1, ~ 300 micromoles in bellows B</t>
  </si>
  <si>
    <t>November 19, 2015 - UCLA-1 not purified</t>
  </si>
  <si>
    <t>November 20, UK-1 from GC system, gas might be compromised</t>
  </si>
  <si>
    <t>November 23, 2nd UK-1 from GC system, a lot of jerking gas around, Mojhgan ran GC</t>
  </si>
  <si>
    <t>November 24, 3rd UK-1 from GC system, Kaitlyn's first run</t>
  </si>
  <si>
    <t>November 25, 4th UK-1 from GC system, Junko's first run</t>
  </si>
  <si>
    <t>December 4, 2015 UCLA-1 sampled by gas-tight syringe and injected into the GC/vacuum system</t>
  </si>
  <si>
    <t>December 9, 2015, 10% UCLA1 CH4 in Ar, needle sampled and purified by GC</t>
  </si>
  <si>
    <t>December 10, 2015, first sampling of UCLA-1 by SMOV needle system</t>
  </si>
  <si>
    <t>December 11, Kaitlyn runs UCLA-1 using the SMOV-needle sampler, 120 micromoles</t>
  </si>
  <si>
    <t>December 15, first SIL 59 sampled with gas-tight syringe from bottle sent by Toronto</t>
  </si>
  <si>
    <t>Sample 0067</t>
  </si>
  <si>
    <t>April 11, 2016, zero for UCLA2 through GC+new TrapA, 60C expansion into B w/ 4 squeezes in 30min</t>
  </si>
  <si>
    <t>Sample 0068</t>
  </si>
  <si>
    <t>19 blocks for 13CD, 19 blocks for H2D2</t>
  </si>
  <si>
    <t>1 block for 13CD, 31 blocks for H2D2</t>
  </si>
  <si>
    <t>d13C offset</t>
  </si>
  <si>
    <t>dD offset</t>
  </si>
  <si>
    <t>Sample 0069</t>
  </si>
  <si>
    <t>2 block for 13CD, 4 blocks for H2D2</t>
  </si>
  <si>
    <t>April 12, 2016, zero for UCLA2 through GC+new TrapA, 25C expansion into B w/ 4 squeezes in 30min</t>
  </si>
  <si>
    <t>April 13, 2016, Rerun 0068 in A, zero for UCLA2 through GC+new TrapA, 25C expansion</t>
  </si>
  <si>
    <t>April 11, 2016, Rerun 0065, 60C expansion, 4 squeezes with equal time intervals</t>
  </si>
  <si>
    <t>12 block for 13CD</t>
  </si>
  <si>
    <t>Sample 0066</t>
  </si>
  <si>
    <t>Sample 0065</t>
  </si>
  <si>
    <t>March 11, 2016, zero test through GC, UCLA2, 4 squeezes in 30 min in B, not equal time intervals btw squeezes.</t>
  </si>
  <si>
    <t>2 block for 13CD</t>
  </si>
  <si>
    <t>Sample 0070</t>
  </si>
  <si>
    <t>April 13, 2016, zero for UCLA2 through GC, 25C expansion into B w/ 4 squeezes in 30min</t>
  </si>
  <si>
    <t>4 block for 13CD, 40 blocks for H2D2</t>
  </si>
  <si>
    <t>Sample 0043</t>
  </si>
  <si>
    <t>March 3, 2016 UCLA2 through the GC, test if d13C is all of a sudden off</t>
  </si>
  <si>
    <t>Sample 0073</t>
  </si>
  <si>
    <t>20 blocks</t>
  </si>
  <si>
    <t>40 blocks</t>
  </si>
  <si>
    <t>Sample 0074</t>
  </si>
  <si>
    <t>13 blocks</t>
  </si>
  <si>
    <t>24 blocks</t>
  </si>
  <si>
    <t>Sample 0075</t>
  </si>
  <si>
    <t>28 blocks</t>
  </si>
  <si>
    <t>10 blocks</t>
  </si>
  <si>
    <r>
      <t>Block # for D</t>
    </r>
    <r>
      <rPr>
        <b/>
        <vertAlign val="superscript"/>
        <sz val="10"/>
        <color theme="1"/>
        <rFont val="Calibri"/>
        <family val="2"/>
        <scheme val="minor"/>
      </rPr>
      <t>13</t>
    </r>
    <r>
      <rPr>
        <b/>
        <sz val="10"/>
        <color theme="1"/>
        <rFont val="Calibri"/>
        <family val="2"/>
        <scheme val="minor"/>
      </rPr>
      <t>CH</t>
    </r>
    <r>
      <rPr>
        <b/>
        <vertAlign val="subscript"/>
        <sz val="10"/>
        <color theme="1"/>
        <rFont val="Calibri"/>
        <family val="2"/>
        <scheme val="minor"/>
      </rPr>
      <t>3</t>
    </r>
    <r>
      <rPr>
        <b/>
        <sz val="10"/>
        <color theme="1"/>
        <rFont val="Calibri"/>
        <family val="2"/>
        <scheme val="minor"/>
      </rPr>
      <t>D</t>
    </r>
  </si>
  <si>
    <r>
      <t>Block # for D</t>
    </r>
    <r>
      <rPr>
        <b/>
        <vertAlign val="superscript"/>
        <sz val="10"/>
        <color theme="1"/>
        <rFont val="Calibri"/>
        <family val="2"/>
        <scheme val="minor"/>
      </rPr>
      <t>12</t>
    </r>
    <r>
      <rPr>
        <b/>
        <sz val="10"/>
        <color theme="1"/>
        <rFont val="Calibri"/>
        <family val="2"/>
        <scheme val="minor"/>
      </rPr>
      <t>CH</t>
    </r>
    <r>
      <rPr>
        <b/>
        <vertAlign val="subscript"/>
        <sz val="10"/>
        <color theme="1"/>
        <rFont val="Calibri"/>
        <family val="2"/>
        <scheme val="minor"/>
      </rPr>
      <t>2</t>
    </r>
    <r>
      <rPr>
        <b/>
        <sz val="10"/>
        <color theme="1"/>
        <rFont val="Calibri"/>
        <family val="2"/>
        <scheme val="minor"/>
      </rPr>
      <t>D</t>
    </r>
    <r>
      <rPr>
        <b/>
        <vertAlign val="subscript"/>
        <sz val="10"/>
        <color theme="1"/>
        <rFont val="Calibri"/>
        <family val="2"/>
        <scheme val="minor"/>
      </rPr>
      <t>2</t>
    </r>
  </si>
  <si>
    <t>Sample 0077</t>
  </si>
  <si>
    <t>Sample 0076</t>
  </si>
  <si>
    <t>Sample 0079</t>
  </si>
  <si>
    <t>39 blocks</t>
  </si>
  <si>
    <t>Sample 0080</t>
  </si>
  <si>
    <t>GC column heated to 150C</t>
  </si>
  <si>
    <t>Sample 0082</t>
  </si>
  <si>
    <t>17 blocks</t>
  </si>
  <si>
    <t>Sample 0085</t>
  </si>
  <si>
    <t>-</t>
  </si>
  <si>
    <t>19 blocks</t>
  </si>
  <si>
    <t>Sample 0086</t>
  </si>
  <si>
    <t>4 blocks</t>
  </si>
  <si>
    <t>0086, Back-freeze, and re-expanded in 40min into A</t>
  </si>
  <si>
    <t>Sample 0087</t>
  </si>
  <si>
    <t>Replaced filament</t>
  </si>
  <si>
    <t>Date</t>
  </si>
  <si>
    <t>Zero1</t>
  </si>
  <si>
    <t>Zero test, UCLA2 from the same ref sylinder, comparing bellows C to D</t>
  </si>
  <si>
    <t>Zero2</t>
  </si>
  <si>
    <t>Zero test, UCLA2 passing through GC vs. ref cylinder</t>
  </si>
  <si>
    <t>Sample 0090</t>
  </si>
  <si>
    <t>Sample 0091</t>
  </si>
  <si>
    <t>9 blocks</t>
  </si>
  <si>
    <t>Sample 0092</t>
  </si>
  <si>
    <t>Sample 0093</t>
  </si>
  <si>
    <t>Sample 0094</t>
  </si>
  <si>
    <t>16012013-KC-L9500-BHY13F62-GAS-D</t>
  </si>
  <si>
    <t>29112012-KC-L9500-BH2-GAS-A</t>
  </si>
  <si>
    <t>Sample 0095</t>
  </si>
  <si>
    <t>16012013-KC-L9500-BH2-GAS-A</t>
  </si>
  <si>
    <t>Sample 0096</t>
  </si>
  <si>
    <t>600C heated UCLA2</t>
  </si>
  <si>
    <t>Sample 0097</t>
  </si>
  <si>
    <t>Sample 0098</t>
  </si>
  <si>
    <t>02042014-KC-L7850-BH12287A-B</t>
  </si>
  <si>
    <t>Methanosarcina aeolicus, 46C, IRP_H2/CO2, #4 from USC</t>
  </si>
  <si>
    <t>Beecher Island II, Tnk1, Denver basin</t>
  </si>
  <si>
    <t>UCLA2, after baking the GC column to 150C</t>
  </si>
  <si>
    <t>UCLA2</t>
  </si>
  <si>
    <t>Methanococous barker, 30C, AR_MeOH, #6 from USC</t>
  </si>
  <si>
    <t>Methanosarcina thermolithotrophicus, 65C, IRP, #3 from USC</t>
  </si>
  <si>
    <t>UCLA2, two-passGC test</t>
  </si>
  <si>
    <t>Methanosarcina acetivorans, 30C, MeOH AR, #1 from USC</t>
  </si>
  <si>
    <t>Zero with Si-gel transfer IK-tune</t>
  </si>
  <si>
    <r>
      <t>d</t>
    </r>
    <r>
      <rPr>
        <b/>
        <vertAlign val="superscript"/>
        <sz val="10"/>
        <color theme="1"/>
        <rFont val="Calibri"/>
        <family val="2"/>
        <scheme val="minor"/>
      </rPr>
      <t>13</t>
    </r>
    <r>
      <rPr>
        <b/>
        <sz val="10"/>
        <color theme="1"/>
        <rFont val="Calibri"/>
        <family val="2"/>
        <scheme val="minor"/>
      </rPr>
      <t>C offset</t>
    </r>
  </si>
  <si>
    <t>15 blocks</t>
  </si>
  <si>
    <t>Zero with Si-gel transfer SL-tune</t>
  </si>
  <si>
    <t>same gas, EY-tune</t>
  </si>
  <si>
    <t>same gas, remix &amp; restart, pressure balanced</t>
  </si>
  <si>
    <t>1 blocks</t>
  </si>
  <si>
    <r>
      <t xml:space="preserve">same gas, SL-retune, </t>
    </r>
    <r>
      <rPr>
        <sz val="10"/>
        <color rgb="FFFF0000"/>
        <rFont val="Calibri"/>
        <family val="2"/>
        <scheme val="minor"/>
      </rPr>
      <t>failed for pressure adjustment</t>
    </r>
  </si>
  <si>
    <t>2 blocks</t>
  </si>
  <si>
    <t>Zero twn two bellows IK-tune</t>
  </si>
  <si>
    <t>Zero twn two cylinders IK-tune</t>
  </si>
  <si>
    <t>12 blocks</t>
  </si>
  <si>
    <r>
      <t>D</t>
    </r>
    <r>
      <rPr>
        <b/>
        <vertAlign val="superscript"/>
        <sz val="10"/>
        <color theme="1"/>
        <rFont val="Calibri"/>
        <family val="2"/>
        <scheme val="minor"/>
      </rPr>
      <t>12</t>
    </r>
    <r>
      <rPr>
        <b/>
        <sz val="10"/>
        <color theme="1"/>
        <rFont val="Calibri"/>
        <family val="2"/>
        <scheme val="minor"/>
      </rPr>
      <t>CH</t>
    </r>
    <r>
      <rPr>
        <b/>
        <vertAlign val="subscript"/>
        <sz val="10"/>
        <color theme="1"/>
        <rFont val="Calibri"/>
        <family val="2"/>
        <scheme val="minor"/>
      </rPr>
      <t>2</t>
    </r>
    <r>
      <rPr>
        <b/>
        <sz val="10"/>
        <color theme="1"/>
        <rFont val="Calibri"/>
        <family val="2"/>
        <scheme val="minor"/>
      </rPr>
      <t>D</t>
    </r>
    <r>
      <rPr>
        <b/>
        <vertAlign val="subscript"/>
        <sz val="10"/>
        <color theme="1"/>
        <rFont val="Calibri"/>
        <family val="2"/>
        <scheme val="minor"/>
      </rPr>
      <t xml:space="preserve">2 </t>
    </r>
    <r>
      <rPr>
        <b/>
        <sz val="10"/>
        <color theme="1"/>
        <rFont val="Calibri"/>
        <family val="2"/>
        <scheme val="minor"/>
      </rPr>
      <t>offset</t>
    </r>
  </si>
  <si>
    <t>Zero for cold finger test, 33umol</t>
  </si>
  <si>
    <t>7.5 blocks</t>
  </si>
  <si>
    <r>
      <rPr>
        <sz val="10"/>
        <color rgb="FFFF0000"/>
        <rFont val="Calibri"/>
        <family val="2"/>
        <scheme val="minor"/>
      </rPr>
      <t>**</t>
    </r>
    <r>
      <rPr>
        <sz val="10"/>
        <color theme="1"/>
        <rFont val="Calibri"/>
        <family val="2"/>
        <scheme val="minor"/>
      </rPr>
      <t>*1st sucessful cold finger tles</t>
    </r>
  </si>
  <si>
    <t>Sample 0099</t>
  </si>
  <si>
    <t>21 blocks</t>
  </si>
  <si>
    <t>Combined 5 vials to get a total yield of 15umol</t>
  </si>
  <si>
    <t>Shell Marcellus Primary</t>
  </si>
  <si>
    <t>Etiope, 70C  Sabatier</t>
  </si>
  <si>
    <t>Sampl e 101</t>
  </si>
  <si>
    <t>Doug 120-8-1</t>
  </si>
  <si>
    <t>Doug 120-8-4</t>
  </si>
  <si>
    <t>Sampl e 104</t>
  </si>
  <si>
    <t>CDV3 3 vials comb</t>
  </si>
  <si>
    <t>7 blocks</t>
  </si>
  <si>
    <t>Sample 107</t>
  </si>
  <si>
    <t>AS#1 Italy Guis</t>
  </si>
  <si>
    <t>Sample 108</t>
  </si>
  <si>
    <t>AS#2 Italy Guis</t>
  </si>
  <si>
    <t>Sample 109</t>
  </si>
  <si>
    <t>22 blocks</t>
  </si>
  <si>
    <t>Sample 110</t>
  </si>
  <si>
    <t>23 blocks</t>
  </si>
  <si>
    <t>2.0 namps</t>
  </si>
  <si>
    <t>13CD: 2.18namps/H2D2 2.0namps</t>
  </si>
  <si>
    <t>Sample 111</t>
  </si>
  <si>
    <t>13CD: 2.0 namps/H2D2: 1.8 namps</t>
  </si>
  <si>
    <t>ten blocks</t>
  </si>
  <si>
    <t>Sample 112</t>
  </si>
  <si>
    <t>13CD: 2.3 namps/H2D2: 2.08 namps</t>
  </si>
  <si>
    <t>UCLA 2 30 umols cold finger</t>
  </si>
  <si>
    <t>Sample 113</t>
  </si>
  <si>
    <t>2.1 namps</t>
  </si>
  <si>
    <t>2.2 namps</t>
  </si>
  <si>
    <t>Sample 114</t>
  </si>
  <si>
    <t>35 blocks</t>
  </si>
  <si>
    <t>Sample 115</t>
  </si>
  <si>
    <t>25 blocks</t>
  </si>
  <si>
    <t>Sample 116</t>
  </si>
  <si>
    <t>3 vials, no measurable pressure in bellows A</t>
  </si>
  <si>
    <t>Sample 0117</t>
  </si>
  <si>
    <t>July 26, Chimaera HEADSPACE(Etiope)</t>
  </si>
  <si>
    <t>2.3 namps</t>
  </si>
  <si>
    <t>Sample 119</t>
  </si>
  <si>
    <t>14 blocks</t>
  </si>
  <si>
    <t>29 blocks</t>
  </si>
  <si>
    <t>Sample 120</t>
  </si>
  <si>
    <t>Sample 121</t>
  </si>
  <si>
    <t>Sample 122</t>
  </si>
  <si>
    <t>Sample 123</t>
  </si>
  <si>
    <t>18 blocks</t>
  </si>
  <si>
    <t>Sample 124</t>
  </si>
  <si>
    <t>32 blocks</t>
  </si>
  <si>
    <t>1.9 namps</t>
  </si>
  <si>
    <t>Sample 125</t>
  </si>
  <si>
    <t>16 blocks</t>
  </si>
  <si>
    <t>Sample 126</t>
  </si>
  <si>
    <t>UCLA-2 30 umols coldfinger</t>
  </si>
  <si>
    <t>Sample 127</t>
  </si>
  <si>
    <t>SE very high, slits moved to improve tuning</t>
  </si>
  <si>
    <t>JA purified incorrectly or expansion incorrect?</t>
  </si>
  <si>
    <t>13CD: 2.1 namps/H2D2: 2.2 namps</t>
  </si>
  <si>
    <t>Sample 128</t>
  </si>
  <si>
    <t>2.5 namps</t>
  </si>
  <si>
    <t>Sample 129</t>
  </si>
  <si>
    <t>37 blocks</t>
  </si>
  <si>
    <t>1.8 namps</t>
  </si>
  <si>
    <t>Sample 130</t>
  </si>
  <si>
    <t>1.7 namps</t>
  </si>
  <si>
    <t>Sample 131</t>
  </si>
  <si>
    <t>5 blocks</t>
  </si>
  <si>
    <t>13CD: 3.0 namps/H2D2: 2.6 namps</t>
  </si>
  <si>
    <t>Sample 132</t>
  </si>
  <si>
    <t>33 blocks</t>
  </si>
  <si>
    <t>Sample 133</t>
  </si>
  <si>
    <t>Songliao#1</t>
  </si>
  <si>
    <t>Songliao#2_Seg1</t>
  </si>
  <si>
    <t>Fixed wire and installed the MKIII</t>
  </si>
  <si>
    <t>Sample 140</t>
  </si>
  <si>
    <t>Zero</t>
  </si>
  <si>
    <t>10 blocks, rerun</t>
  </si>
  <si>
    <t>Sample 143</t>
  </si>
  <si>
    <t>20 blocks,</t>
  </si>
  <si>
    <t>M. Aeolicus, 46C, CO2-H2</t>
  </si>
  <si>
    <t>Sample 144</t>
  </si>
  <si>
    <t>600C UCLA2, heated for 72hr</t>
  </si>
  <si>
    <t>Sample 145</t>
  </si>
  <si>
    <t>M. maripaludis, 37C, CO2-H2</t>
  </si>
  <si>
    <t>26 blocks</t>
  </si>
  <si>
    <t>Sample 154</t>
  </si>
  <si>
    <t>20160907-Ney-g1-b</t>
  </si>
  <si>
    <t>38 blocks</t>
  </si>
  <si>
    <t>Sample 157</t>
  </si>
  <si>
    <t>20160907-Ney-g1-a</t>
  </si>
  <si>
    <t>Sample 159</t>
  </si>
  <si>
    <t>Songliao_3352m</t>
  </si>
  <si>
    <t>13CD: 1.6 namps/H2D2: 1.9 namps</t>
  </si>
  <si>
    <t>8 blocks</t>
  </si>
  <si>
    <t>Sample 161</t>
  </si>
  <si>
    <t>13CD: 2.6 namps/H2D2: 2.2 namps</t>
  </si>
  <si>
    <t>Sample 162</t>
  </si>
  <si>
    <t>13CD: 2.1 namps/H2D2: 2.1 namps</t>
  </si>
  <si>
    <t>13CD: 2.2 namps/H2D2: 2.2 namps</t>
  </si>
  <si>
    <t>Sample 164</t>
  </si>
  <si>
    <t>36 blocks</t>
  </si>
  <si>
    <t>Sample 163</t>
  </si>
  <si>
    <t>UCLA-2 25 umols coldfinger</t>
  </si>
  <si>
    <t>UCLA-250 umols coldfinger</t>
  </si>
  <si>
    <t>UCLA-2 35 umols coldfinger</t>
  </si>
  <si>
    <t>UCLA-2 38umols coldfinger</t>
  </si>
  <si>
    <t>13CD: 2.1 namps/H2D2: 2.7 namps</t>
  </si>
  <si>
    <t>Sample 166</t>
  </si>
  <si>
    <t>UCLA-2 50 umols coldfinger</t>
  </si>
  <si>
    <t>11 blocks</t>
  </si>
  <si>
    <t>13CD: 2.01 namps/H2D2: 2.07 namps</t>
  </si>
  <si>
    <t>Sample 167</t>
  </si>
  <si>
    <t>05032014NR1730mNR170128C</t>
  </si>
  <si>
    <t>30 blocks</t>
  </si>
  <si>
    <t>Sample 168</t>
  </si>
  <si>
    <t>UCLA-1 35 umoles</t>
  </si>
  <si>
    <t>13CD: 2.2 namps/H2D2: 2.5 namps</t>
  </si>
  <si>
    <t>Sample 169</t>
  </si>
  <si>
    <t>29112013NR1730mNR170128B</t>
  </si>
  <si>
    <t>16 Blocks</t>
  </si>
  <si>
    <t>38 Blocks</t>
  </si>
  <si>
    <t>13CD: 1.36 namps/H2D2: 1.3 namps</t>
  </si>
  <si>
    <t>Sample 170</t>
  </si>
  <si>
    <t>5 Blocks</t>
  </si>
  <si>
    <t>13 Blocks</t>
  </si>
  <si>
    <t>5.0 He stream in purification line</t>
  </si>
  <si>
    <t>13CD: 2.2 namps/H2D2: 2.7 namps</t>
  </si>
  <si>
    <t>Sample 165</t>
  </si>
  <si>
    <t>31 blocks</t>
  </si>
  <si>
    <t>13CD: 2.9 namps/H2D2: 2.9 namps</t>
  </si>
  <si>
    <t>Sample 171</t>
  </si>
  <si>
    <t>22102014NR1730mNR170128C</t>
  </si>
  <si>
    <t>Sample 172</t>
  </si>
  <si>
    <t>13CD: 1.35 namps/H2D2: 1.39 namps</t>
  </si>
  <si>
    <t>9 Blocks</t>
  </si>
  <si>
    <t>13CD: 3.2 namps/H2D2: 3.2 namps</t>
  </si>
  <si>
    <t>Sample 173</t>
  </si>
  <si>
    <t>05032014NR1730M170183A</t>
  </si>
  <si>
    <t>20 Blocks</t>
  </si>
  <si>
    <t>40 Blocks</t>
  </si>
  <si>
    <t>G67</t>
  </si>
  <si>
    <t>Sample 174</t>
  </si>
  <si>
    <t>22102014NR1730m_NR170128C_RERUN</t>
  </si>
  <si>
    <t>Sample 175</t>
  </si>
  <si>
    <t>UCLA-1 50 umoles</t>
  </si>
  <si>
    <t>13CD: 2.2 namps/H2D2:2.2 namps</t>
  </si>
  <si>
    <t>Sample 177</t>
  </si>
  <si>
    <t>17 Blocks</t>
  </si>
  <si>
    <t>Sample 176</t>
  </si>
  <si>
    <t>13CD: 3.2 namps/H2D2: 3.9 namps</t>
  </si>
  <si>
    <t>Sample 178</t>
  </si>
  <si>
    <t>Sample 179</t>
  </si>
  <si>
    <t>UCLA-1 30 umols</t>
  </si>
  <si>
    <t>13CD: 1.2 namps/H2D2:1.2 namps</t>
  </si>
  <si>
    <t>7 Blocks</t>
  </si>
  <si>
    <t>too few blocks at too low amperage</t>
  </si>
  <si>
    <t>Sample 182</t>
  </si>
  <si>
    <t>Sample 183</t>
  </si>
  <si>
    <t>Sample 184</t>
  </si>
  <si>
    <t>13CD: 3.2 namps/H2D2: 3.0 namps</t>
  </si>
  <si>
    <t>13CD: 2.3 namps/H2D2: 3.2-3.6 namps*filament changed after 1740</t>
  </si>
  <si>
    <t>UCLA-1 100 umoles</t>
  </si>
  <si>
    <t>13CD: 2.27 namps/H2D2: 2.25 namps</t>
  </si>
  <si>
    <t>Sample 188a+b</t>
  </si>
  <si>
    <t>New Filament after 1742</t>
  </si>
  <si>
    <t>Sample 187</t>
  </si>
  <si>
    <t>UCLA-1 60 umoles</t>
  </si>
  <si>
    <t>27 blocks</t>
  </si>
  <si>
    <t>Sample189</t>
  </si>
  <si>
    <t>21 Blocks</t>
  </si>
  <si>
    <t>Sample 185</t>
  </si>
  <si>
    <t>13CD: 2.88 namps/H2D2: 2.9 namps</t>
  </si>
  <si>
    <t>Sample 180</t>
  </si>
  <si>
    <t>Sample 190</t>
  </si>
  <si>
    <t>13CD: 2.4 namps/H2D2: 3.5 namps</t>
  </si>
  <si>
    <t>Sample 191</t>
  </si>
  <si>
    <t>UCLA-1 120 umoles</t>
  </si>
  <si>
    <t>Sample 192</t>
  </si>
  <si>
    <t>8.5 blocks</t>
  </si>
  <si>
    <t>Sample 193+194</t>
  </si>
  <si>
    <t>Sample 195</t>
  </si>
  <si>
    <t>UCLA-1 60 umols</t>
  </si>
  <si>
    <t>Sample 196</t>
  </si>
  <si>
    <t>6 blocks</t>
  </si>
  <si>
    <t>Sample 197</t>
  </si>
  <si>
    <t>13CD: 2.0 namps/H2D2: 2.1 namps</t>
  </si>
  <si>
    <t>Sample 198</t>
  </si>
  <si>
    <t>13CD: 2.05 namps/H2D2: 2.0 namps</t>
  </si>
  <si>
    <t>18 Blocks</t>
  </si>
  <si>
    <t>UCLA-1_60umols</t>
  </si>
  <si>
    <t>13CD: 2.3 namps/H2D2: 2.3 namps</t>
  </si>
  <si>
    <t>35 Blocks</t>
  </si>
  <si>
    <t>13CD: 2.06 namps/H2D2: 2.0 namps</t>
  </si>
  <si>
    <t>for d13C and dD only</t>
  </si>
  <si>
    <t>13CD: 2.1 namps/H2D2: 2.07 namps</t>
  </si>
  <si>
    <t>25 Blocks</t>
  </si>
  <si>
    <t>13CD: 2.18 namps/H2D2: 2.07 namps</t>
  </si>
  <si>
    <t>UCLA-1_30mols</t>
  </si>
  <si>
    <t>24 Blocks</t>
  </si>
  <si>
    <t>Sample 199</t>
  </si>
  <si>
    <t>Sample 200</t>
  </si>
  <si>
    <t>Sample 201</t>
  </si>
  <si>
    <t>Sample  202</t>
  </si>
  <si>
    <t>Sample 203</t>
  </si>
  <si>
    <t>13CD: 2.05 namps/H2D2: 2.17 namps</t>
  </si>
  <si>
    <t>22 Blocks</t>
  </si>
  <si>
    <t>13CD: 2.0 namps/H2D2: 2.0 namps</t>
  </si>
  <si>
    <t>10 Blocks</t>
  </si>
  <si>
    <t>23 Blocks</t>
  </si>
  <si>
    <t>13CD: 2.03 namps/H2D2: 2.03 namps</t>
  </si>
  <si>
    <t>13CD: 2.2 namps/H2D2:2.07 namps</t>
  </si>
  <si>
    <t>13CD: 2.4 namps/H2D2: 2.4 namps</t>
  </si>
  <si>
    <t>1740 and 1743</t>
  </si>
  <si>
    <t>13CD: 3.3 namps/H2D2: 3.4 namps</t>
  </si>
  <si>
    <t>6 Blocks</t>
  </si>
  <si>
    <t>13CD:2.99 namps/H2D2: 3.1 namps</t>
  </si>
  <si>
    <t>13CD: 3.2 namps</t>
  </si>
  <si>
    <t>3 Blocks</t>
  </si>
  <si>
    <t>Sample 181a+b</t>
  </si>
  <si>
    <t>13CD: 2.5 namps/H2D2: 2.8namps</t>
  </si>
  <si>
    <t>Sample 208</t>
  </si>
  <si>
    <t>UCLA-1 100 umols</t>
  </si>
  <si>
    <t>13CD: 2.3 namps/H2D2: 2.2 namps</t>
  </si>
  <si>
    <t>Sample 209</t>
  </si>
  <si>
    <t>Sample 210</t>
  </si>
  <si>
    <t>Sample 211</t>
  </si>
  <si>
    <t>13CD: 2.2 namps/H2D2: 2.3 namps</t>
  </si>
  <si>
    <t>Sample 204</t>
  </si>
  <si>
    <t>UCLA-1 110 umoles</t>
  </si>
  <si>
    <t>Sample 205</t>
  </si>
  <si>
    <t>Sample 206</t>
  </si>
  <si>
    <t>13CD: 2.4 namps/H2D2: 2.1 namps</t>
  </si>
  <si>
    <t>Sample 207</t>
  </si>
  <si>
    <t>Sample 212</t>
  </si>
  <si>
    <t>13CD: 3.1 namps/H2D2: 3.2 namps</t>
  </si>
  <si>
    <t>Sample 213</t>
  </si>
  <si>
    <t>13CD: 3.2 namps/H2D2: 3.5 namps</t>
  </si>
  <si>
    <t>Sample 214</t>
  </si>
  <si>
    <t>13CD: 3.1 namps/H2D2: 3.1 namps</t>
  </si>
  <si>
    <t>13CD: 3.3 namps/H2D2: 3.6 namps</t>
  </si>
  <si>
    <t>Sample 215</t>
  </si>
  <si>
    <t>H06_GT_15/16 (Lost City)</t>
  </si>
  <si>
    <t>T008532 (Ontario Basin)</t>
  </si>
  <si>
    <t>SYNH02-EW-3 (Taiwan mud volcano)</t>
  </si>
  <si>
    <t>SYNH02-C5-01_C5-02_C6-01_C6-02 (Taiwan mud volcano)</t>
  </si>
  <si>
    <t>SYNH02-C5-04 (Taiwan mud volcano)</t>
  </si>
  <si>
    <t>SYNH02-EW-1 (Taiwan mud volcano)</t>
  </si>
  <si>
    <t>63-C-22-H-1_Baltic (Landsort Deep)</t>
  </si>
  <si>
    <t>63-C-13-H-1_Baltic (Landsort Deep)</t>
  </si>
  <si>
    <t>63-C-21-H-1_Baltic (Landsort Deep)</t>
  </si>
  <si>
    <t>63-C-18-H-1_Baltic (Landsort Deep)</t>
  </si>
  <si>
    <t>63-C-16-H-1_Baltic (Landsort Deep)</t>
  </si>
  <si>
    <t>63-C-12-H-1_Baltic (Landsort Deep)</t>
  </si>
  <si>
    <t>63-C-19-H-1_Baltic (Landsort Deep)</t>
  </si>
  <si>
    <t>63-C-10-H-1_Baltic (Landsort Deep)</t>
  </si>
  <si>
    <t>63-C-14-H-1_Baltic (Landsort Deep)</t>
  </si>
  <si>
    <t>63-C-29+30+31-H-1_Baltic (Landsort Deep)</t>
  </si>
  <si>
    <t>63-C-20-H-1_Baltic (Landsort Deep)</t>
  </si>
  <si>
    <t>63-C-5-H-1_Baltic (Landsort Deep)</t>
  </si>
  <si>
    <t>63-C-4-H-1_Baltic (Landsort Deep)</t>
  </si>
  <si>
    <t>63-C-1-H-2 Baltic (Landsort Deep)</t>
  </si>
  <si>
    <t>63-C-3-H-1 Baltic (Landsort Deep)</t>
  </si>
  <si>
    <t>63-C-2-H-1 Baltic (Landsort Deep)</t>
  </si>
  <si>
    <t>63-C-1-H-1 Baltic (Landsort Deep)</t>
  </si>
  <si>
    <t>65-C-7-H-1 Baltic (Bornholm Basin)</t>
  </si>
  <si>
    <t>65-C-6-H-1 Baltic (Bornholm Basin)</t>
  </si>
  <si>
    <t>65-C-5-H-2 Baltic (Bornholm Basin)</t>
  </si>
  <si>
    <t>65-C-5-H-1 Baltic (Bornholm Basin)</t>
  </si>
  <si>
    <t>65-C-2-H-1 Baltic (Bornholm Basin)</t>
  </si>
  <si>
    <t>65-C-2-H-2 Baltic (Bornholm Basin)</t>
  </si>
  <si>
    <t>65-C-3-H-1 Baltic (Bornholm Basin)</t>
  </si>
  <si>
    <t>65-C-4-H-1 Baltic (Bornholm Basin)</t>
  </si>
  <si>
    <t>65-C-3-H-2 Baltic (Bornholm Basin)</t>
  </si>
  <si>
    <t>65-C-4-H-2 Baltic (Bornholm Basin)</t>
  </si>
  <si>
    <t>65-C-6-H-2 Baltic (Bornholm Basin)</t>
  </si>
  <si>
    <t>13CD: 2.5 namps/H2D2: 2.3namps</t>
  </si>
  <si>
    <t>Sample 216</t>
  </si>
  <si>
    <t>UCLA-1 85 umols</t>
  </si>
  <si>
    <t>Sample 217-220</t>
  </si>
  <si>
    <t>63-C-7+8_Baltic (Landsort Deep)</t>
  </si>
  <si>
    <t>SYNH02-C5-08,09,10,11 (Taiwan mud volcano)</t>
  </si>
  <si>
    <t>STChester-F (Michigan Basin-Niagaran)</t>
  </si>
  <si>
    <t>NCharltonA1-18-F (Michigan Basin-Antrim)</t>
  </si>
  <si>
    <t>STCharltonC4-31-F (Michigan Basin-Antrim)</t>
  </si>
  <si>
    <t>Meunier D2-5-F  (Michigan Basin-Antrim)</t>
  </si>
  <si>
    <t>T006907-coboconk (Ontario Basin)</t>
  </si>
  <si>
    <t>T008094-cambrian (Ontario Basin)</t>
  </si>
  <si>
    <t>T011554-Thorold (Ontario Basin)</t>
  </si>
  <si>
    <t>T008974-gullriver (Ontario Basin)</t>
  </si>
  <si>
    <t>T002556-guelph (Ontario Basin)</t>
  </si>
  <si>
    <t>T007357-corobourg (Ontario Basin)</t>
  </si>
  <si>
    <t>T003899-guelph (Ontario Basin)</t>
  </si>
  <si>
    <t>1804 &amp; 1806</t>
  </si>
  <si>
    <t>13CD: 2.3 namps/H2D2: 3.4 namps</t>
  </si>
  <si>
    <t>Sample 221</t>
  </si>
  <si>
    <t>250117KC785012299 (Kid Creek)</t>
  </si>
  <si>
    <t>Sample 222</t>
  </si>
  <si>
    <t>13CD: 2.7 namps/H2D2: 2.7 namps</t>
  </si>
  <si>
    <t>Sample 226</t>
  </si>
  <si>
    <t>UCLA-1 165 umols</t>
  </si>
  <si>
    <t>13CD: 3.2 namps/H2D2: 3.2namps</t>
  </si>
  <si>
    <t>12072016KCL7850-BH12299-C (Kid Creek)</t>
  </si>
  <si>
    <t>Sample 223</t>
  </si>
  <si>
    <t>Dundee Gepford 2-35-F( Michigan Basin)</t>
  </si>
  <si>
    <t>Sample 224</t>
  </si>
  <si>
    <t>NWBU Berea-F (Michigan Basin)</t>
  </si>
  <si>
    <t>13CD: 3.3 namps/H2D2: 3.2 namps</t>
  </si>
  <si>
    <t>Sample 225</t>
  </si>
  <si>
    <t>Terra Energy Upper Antrim C3-8-F</t>
  </si>
  <si>
    <t>13CD: 3.4 namps/H2D2: 3.3 namps</t>
  </si>
  <si>
    <t>Sample 227</t>
  </si>
  <si>
    <t>25017KCL785012261-g (Kid Creek)</t>
  </si>
  <si>
    <t>Sample 228</t>
  </si>
  <si>
    <t>02.04.2014_KC_7850_BH12299_F</t>
  </si>
  <si>
    <t>Sample 229</t>
  </si>
  <si>
    <t>12.07.2016_KC_7850_BH12299_C(2nd)</t>
  </si>
  <si>
    <t>13CD: 2. namps/H2D2: 3.4 namps</t>
  </si>
  <si>
    <t>Sample 230</t>
  </si>
  <si>
    <t>22.10.2015 KC 7850 BH12261-C (2nd)</t>
  </si>
  <si>
    <t>re-equilibrated?</t>
  </si>
  <si>
    <t>13CD: 2.9 namps/H2D2: 3.4 namps</t>
  </si>
  <si>
    <t>Sample 231</t>
  </si>
  <si>
    <t>KW1114.2 (Shuchi, Siberia)</t>
  </si>
  <si>
    <t>Sample 232</t>
  </si>
  <si>
    <t>KW1116.2 (Shuchi, Siberia)</t>
  </si>
  <si>
    <t>13CD: 3.2 namps/H2D2: 2.8 namps</t>
  </si>
  <si>
    <t>Sample 233</t>
  </si>
  <si>
    <t>KW1033.1(Vault Alaska)</t>
  </si>
  <si>
    <t>Sample 234</t>
  </si>
  <si>
    <t>Sample 236</t>
  </si>
  <si>
    <t>KW1063.2(Goldstream, Alaska)</t>
  </si>
  <si>
    <t>13CD: 2.6 namps/H2D2: 3.6 namps</t>
  </si>
  <si>
    <t>Niagaran_Wesanen_2_19_C (Michigan Basin)</t>
  </si>
  <si>
    <t>SIL 59 FD10.2017</t>
  </si>
  <si>
    <t>Sample237</t>
  </si>
  <si>
    <t>T008657-guelph</t>
  </si>
  <si>
    <t>SIL 59 Bottle 1 run 2</t>
  </si>
  <si>
    <t>Sample 240</t>
  </si>
  <si>
    <t xml:space="preserve"> UCLA2 through the GC</t>
  </si>
  <si>
    <t>SIL 60 Break Seal</t>
  </si>
  <si>
    <t>KW1150.3(Doughnut, Alaska)</t>
  </si>
  <si>
    <t>242+243</t>
  </si>
  <si>
    <t>Sample 244</t>
  </si>
  <si>
    <t>Niagaran_Gelow_2_13_C</t>
  </si>
  <si>
    <t>Sample 288</t>
  </si>
  <si>
    <t>Sample 289</t>
  </si>
  <si>
    <t>MRS_DV05_PE2_15A</t>
  </si>
  <si>
    <t>Sample 290</t>
  </si>
  <si>
    <t>MRS_DV01_PE1_1A</t>
  </si>
  <si>
    <t>36.5 blocks</t>
  </si>
  <si>
    <t>291+292</t>
  </si>
  <si>
    <t>MRS_DV03_PE3</t>
  </si>
  <si>
    <t>13CD: 1.5 namps/H2D2: 1.5 namps</t>
  </si>
  <si>
    <t>Sample 293</t>
  </si>
  <si>
    <t>06.06.17_KC_7850_BH12299_C</t>
  </si>
  <si>
    <t>Sample 294</t>
  </si>
  <si>
    <t xml:space="preserve"> UCLA2 through the GC J.L. 1st</t>
  </si>
  <si>
    <t>Sample 295</t>
  </si>
  <si>
    <t>06.06.17_ KC 7850 BH12261-C</t>
  </si>
  <si>
    <t>January 20, 2016, KCL_7850_BH12261 from Barbara (Kidd Creek)</t>
  </si>
  <si>
    <t>Sample 296</t>
  </si>
  <si>
    <t>MRS_DV04_PE08_13A</t>
  </si>
  <si>
    <t>13CD:2.2 namps/H2D2: 2.2 namps</t>
  </si>
  <si>
    <t>Source cleaning</t>
  </si>
  <si>
    <t>source slit replaced</t>
  </si>
  <si>
    <t>Sample 297</t>
  </si>
  <si>
    <t xml:space="preserve"> UCLA2 through the GC J.L. 2</t>
  </si>
  <si>
    <t>Sample 298</t>
  </si>
  <si>
    <t xml:space="preserve"> UCLA2 through the GC J.L. 3</t>
  </si>
  <si>
    <t>Sample 299</t>
  </si>
  <si>
    <t>LaBrea Tar Pits 160</t>
  </si>
  <si>
    <t>Sample 300</t>
  </si>
  <si>
    <t>MRS-DV05-PE2-15A</t>
  </si>
  <si>
    <t>13 1/2 blocks</t>
  </si>
  <si>
    <t>Sample 301</t>
  </si>
  <si>
    <t>MRS-DV02-EP2-4A</t>
  </si>
  <si>
    <t>37 1/2 blocks</t>
  </si>
  <si>
    <t>Sample 302</t>
  </si>
  <si>
    <t>MRS-DV05-PE2-15B</t>
  </si>
  <si>
    <t>Sample 303</t>
  </si>
  <si>
    <t>chimaera 200C</t>
  </si>
  <si>
    <t>Sample 304</t>
  </si>
  <si>
    <t>MRS DV03 PE04 8B</t>
  </si>
  <si>
    <t>Sample 305</t>
  </si>
  <si>
    <t>MRS_DV05_PE2_15B_(2nd)IK</t>
  </si>
  <si>
    <t>old in bellow A and new in bellow D</t>
  </si>
  <si>
    <t>Sample no-number</t>
  </si>
  <si>
    <t xml:space="preserve"> UCLA2 new ref gas vs old.</t>
  </si>
  <si>
    <t>SIL 59 Break seal</t>
  </si>
  <si>
    <t>SIL 59 bottle 1 run 3</t>
  </si>
  <si>
    <t>Sample 308</t>
  </si>
  <si>
    <t>13CD: 2.6 namps/H2D2: 2.5 namps</t>
  </si>
  <si>
    <t>02.04.2014_KC_7850_BH12299_F3rd extraction from bottle</t>
  </si>
  <si>
    <t>Sample 309</t>
  </si>
  <si>
    <t>06.06.17_KC_7850_BH12299_C (2nd run)</t>
  </si>
  <si>
    <t>Sample 310</t>
  </si>
  <si>
    <t>weird isotope deviation for d13c and dD</t>
  </si>
  <si>
    <t>Sample 311</t>
  </si>
  <si>
    <t>Utica VL 2 - 13C remeasured</t>
  </si>
  <si>
    <t>na</t>
  </si>
  <si>
    <t>same than VL1 but smaller sample through the gc: no effect anymore: VL1 issue was not an issue associated with a sample too large</t>
  </si>
  <si>
    <t>remeasured because the narrow L3 peaks did not allow a precise 13C measurement</t>
  </si>
  <si>
    <t>Sample 312</t>
  </si>
  <si>
    <t>trust onlu 13C and dD. Here the sample was purposedly large (like Utica 1) and the GC run was cut before the TCD signal had a chance to reach baseline. Barely an isotope effect: the Utica 1 value is not due to a baseline issue</t>
  </si>
  <si>
    <t>Sample 314</t>
  </si>
  <si>
    <t>06.06.17_KC_7850_BH12299_C (3rd run)</t>
  </si>
  <si>
    <t>Sample 315a</t>
  </si>
  <si>
    <t>Sample 313</t>
  </si>
  <si>
    <t>Utica 1 repeated. GC cut exactly like Utica 1 except after a shorter duration (1 min after room T). Utica 5a is the left side of the cut</t>
  </si>
  <si>
    <t>purposedly partial transfer to the DI silica gel to test condensation effect. No fractionation =&gt; poor transfer on silica gel was not the cause of UTICA 1 effect</t>
  </si>
  <si>
    <t>T007793 (Ontario Basin) Samples in orange and red have been cut post GC on the VL.</t>
  </si>
  <si>
    <t>KEY: Notes for sheet entries</t>
  </si>
  <si>
    <t>cut after  GC, over trap B, fractionated</t>
  </si>
  <si>
    <t>Utica VL 1 bad</t>
  </si>
  <si>
    <t>Utica VL 3, test, short  GC collection, a bit off in dD</t>
  </si>
  <si>
    <t>Utica VL4, short cold finger collection, nearly OK</t>
  </si>
  <si>
    <t>New  ss slit</t>
  </si>
  <si>
    <t>Sample 315b</t>
  </si>
  <si>
    <t>Utica VL 5b - complement of 5a</t>
  </si>
  <si>
    <t>Sample 316</t>
  </si>
  <si>
    <t>Utica VL 6 - like VL5 but longer equilibration before GC cut</t>
  </si>
  <si>
    <t>Utica VL 5a, test, cut on trap B</t>
  </si>
  <si>
    <t>Sample 318</t>
  </si>
  <si>
    <t>Sample 317</t>
  </si>
  <si>
    <t>Utica VL 7 - no GC cut - no mixing in DI purposedly - no fractionation</t>
  </si>
  <si>
    <t>Utica VL 2, cut before GC, fine</t>
  </si>
  <si>
    <t>Utica VL 8 - like VL1, 5 and 6 but refrozen on B trap before a post-GC cut</t>
  </si>
  <si>
    <t>Sample 319</t>
  </si>
  <si>
    <t>Utica VL 9 - fine measurement</t>
  </si>
  <si>
    <t>3 blocks</t>
  </si>
  <si>
    <t>SIL 59 bottle 1 run 4</t>
  </si>
  <si>
    <t>U1496 5Fff</t>
  </si>
  <si>
    <t>h2d2 at 13 and 13d at 15 V</t>
  </si>
  <si>
    <t>h2d2 at 19 and 13d at 18 V</t>
  </si>
  <si>
    <t>h2d2 and 13D at 29V</t>
  </si>
  <si>
    <t>h2d2 and 13D at 21 V</t>
  </si>
  <si>
    <t>U1496A-7F1  (mud volcano, marianna)</t>
  </si>
  <si>
    <t>U1496B-3F5  (mud volcano, marianna)</t>
  </si>
  <si>
    <t>U1496B-7F2  (mud volcano, marianna)</t>
  </si>
  <si>
    <t>U1496B-2F1  (mud volcano, marianna)</t>
  </si>
  <si>
    <t>U1496A-5F2 (mud volcano, marianna)</t>
  </si>
  <si>
    <t>36V for both measurements</t>
  </si>
  <si>
    <t>U1496B-1F1 (mud volcano, marianna)</t>
  </si>
  <si>
    <t>24V for both measurements</t>
  </si>
  <si>
    <t>ucla2 mojhgan</t>
  </si>
  <si>
    <t>20 V for both measurements</t>
  </si>
  <si>
    <t>Alaska blacksheep lake KW1152.3 (arctic lake)</t>
  </si>
  <si>
    <t>Golf LK KW 1045-3 (arctic lake)</t>
  </si>
  <si>
    <t>Vault LK KW 1062.2 (arctic lake)</t>
  </si>
  <si>
    <t>GS Alaska KW1111-3 (arctic lake)</t>
  </si>
  <si>
    <t>Octopus Lake Alaska KW1149.1 (arctic lake)</t>
  </si>
  <si>
    <t>ucla2 (made with a vial that was not tightened: dD frac)</t>
  </si>
  <si>
    <t>cranberry kw1023-3 (arctic lake)</t>
  </si>
  <si>
    <t>BSP-DCZ KW 1158-8 (arctic lake, 'borehole')</t>
  </si>
  <si>
    <t>pickhandle kw1064.3 (arctic lake)</t>
  </si>
  <si>
    <t>13CD: 2.6 namps/H2D2: 3.4 namps</t>
  </si>
  <si>
    <t>Utica 10 fine measurement</t>
  </si>
  <si>
    <t>13CD: 2.2 namps/H2D2: 2.4 namps</t>
  </si>
  <si>
    <t>ucla2 jabrane</t>
  </si>
  <si>
    <t>13CD: 2. namps/H2D2: 2.5 namps</t>
  </si>
  <si>
    <t>13CD: 2.9 namps/H2D2: 2.5 namps</t>
  </si>
  <si>
    <t>Sample 0040</t>
  </si>
  <si>
    <t>UK-2</t>
  </si>
  <si>
    <t>MRS_DV04_PE7_12a (clathrate gas - marmara sea)</t>
  </si>
  <si>
    <t>MRS_DV02_PE1_3a (clathrate gas - marmara sea)</t>
  </si>
  <si>
    <t>mrs-dv03-pe9-7 (clathrate gas - marmara sea)</t>
  </si>
  <si>
    <t>mrs-dv1-pe3-2a (clathrate gas - marmara sea)</t>
  </si>
  <si>
    <t xml:space="preserve"> mrs dv4 pe2 11a (clathrate gas - marmara sea)</t>
  </si>
  <si>
    <t xml:space="preserve"> mrs dv5 pe1 14a (clathrate gas - marmara sea)</t>
  </si>
  <si>
    <t xml:space="preserve"> mrs dv5 pe3 16a (clathrate gas - marmara sea)</t>
  </si>
  <si>
    <t xml:space="preserve"> mrs dv3 pe1 10a (clathrate gas - marmara sea)</t>
  </si>
  <si>
    <t xml:space="preserve"> mrs dv3 pe6 9a (clathrate gas - marmara sea)</t>
  </si>
  <si>
    <t>13CD: 3.0 namps/H2D2: 3.1 namps</t>
  </si>
  <si>
    <t>ucla 2</t>
  </si>
  <si>
    <t>13CD: 2.08 namps/H2D2: 2.8 namps</t>
  </si>
  <si>
    <t>terrible peak on L3 during h2d2 measurement</t>
  </si>
  <si>
    <t>13CD: 2.08 namps/H2D2: 1.9 namps</t>
  </si>
  <si>
    <t>FROM THIS POINT AND FORWARD, UNCERTAINTIES  on clumping numbers ARE CACULATED TO INCORPORATE BULK ISOTOPE UNCERTAINTIES</t>
  </si>
  <si>
    <t>better peak but still sub optimal on L3 during h2d2 measurement (but fine for 13c/13d)</t>
  </si>
  <si>
    <t>13CD: 2.28 namps/H2D2: 2.4 namps</t>
  </si>
  <si>
    <t>26/1/18</t>
  </si>
  <si>
    <t>utica 11</t>
  </si>
  <si>
    <t>13CD: 2.8 namps/H2D2: 2.2 namps</t>
  </si>
  <si>
    <t>utica 12</t>
  </si>
  <si>
    <t>utica 13</t>
  </si>
  <si>
    <t>H2D2: 2.5 namps</t>
  </si>
  <si>
    <t>RS2 V4 gas 15-8 Santa Barbara</t>
  </si>
  <si>
    <t>13CD: 3.5 namps/H2D2: 2.1 namps</t>
  </si>
  <si>
    <t>rs v1 gas santa barbara</t>
  </si>
  <si>
    <t>13CD: 1.9 namps/H2D2: 2.1 namps</t>
  </si>
  <si>
    <t>13CD: 3.3 namps/H2D2: 2.6 namp</t>
  </si>
  <si>
    <t>range of dD over 4.6 permil during measurement</t>
  </si>
  <si>
    <t>ss2-v4-gas-14-8-z santa barbara</t>
  </si>
  <si>
    <t>ss v1 santa barbara</t>
  </si>
  <si>
    <t>13CD: 3.5 namps/H2D2: 2.6 namp</t>
  </si>
  <si>
    <t>Kidd Creek, 2018, KC7850-12261b-29012018</t>
  </si>
  <si>
    <t>13CD: 2.9 namps/H2D2: 2.4 namp</t>
  </si>
  <si>
    <t>very clear dD structure over a range of 7 permil. See screenshot in 'jab screenshots' named 'dD structure on kid creek measurement - feb2018.PNG'</t>
  </si>
  <si>
    <t xml:space="preserve"> clear dD structure over a range of 6 permil. </t>
  </si>
  <si>
    <t>Kidd Creek, 2018, KC7850-12261b-29012018 duplicate</t>
  </si>
  <si>
    <t>13CD: 3.0 namps/H2D2: 2.7 namp</t>
  </si>
  <si>
    <t>synh02-3-102017 taiwan mud volcano</t>
  </si>
  <si>
    <t>no structure dD</t>
  </si>
  <si>
    <t>residual gas (complement of 417) synh02-3-102017 taiwan mud volcano</t>
  </si>
  <si>
    <t>synh02-4-102017 taiwan mud volcano</t>
  </si>
  <si>
    <t>13CD: 1.8 namps/H2D2: 2.0 namp</t>
  </si>
  <si>
    <t>no structure dD but small sample (90 micromol) thus signal decrease at end of h2d2 measurement</t>
  </si>
  <si>
    <t>13CD: 1.4 namps/H2D2: 2.4 namp</t>
  </si>
  <si>
    <t>synh02-4-102017 taiwan mud volcano - same than 419 but larger aliquot</t>
  </si>
  <si>
    <t>13CD: 2.4 namps/H2D2: 3.2 namp</t>
  </si>
  <si>
    <t>pos504 blowout 0m north sea</t>
  </si>
  <si>
    <t>pos504-st549-58m-sample3 north sea</t>
  </si>
  <si>
    <t>LDS-3-111317</t>
  </si>
  <si>
    <t>13CD: 2.4 namps/H2D2: 3.3 namp</t>
  </si>
  <si>
    <t>13CD: 2.4 namps/H2D2: 2.8 namp</t>
  </si>
  <si>
    <t>wsd01-3-121517  taiwan</t>
  </si>
  <si>
    <t>waste pump of the changeover block was shut during H2D2 measurement : gas mixing during measurement lead to very bad h2d2 value</t>
  </si>
  <si>
    <t xml:space="preserve">  </t>
  </si>
  <si>
    <t>13CD: 2.4 namps/H2D2: 2.3 namp</t>
  </si>
  <si>
    <t>13CD: 2.4 namps/H2D2: 2.2 namp</t>
  </si>
  <si>
    <t>1496c 13g mariannas</t>
  </si>
  <si>
    <t>13CD: 3.3 namps/H2D2: 2.4 namp</t>
  </si>
  <si>
    <t>clp2 111417 taiwan</t>
  </si>
  <si>
    <t>ktl2-2-111417 taiwan</t>
  </si>
  <si>
    <t>Utica doug</t>
  </si>
  <si>
    <t>13CD: 3.15 namps/H2D2: 2.88 namp</t>
  </si>
  <si>
    <t xml:space="preserve">1496a 2f3 mariannas, </t>
  </si>
  <si>
    <t>goa (Le Gua) Vercors 2017, alkaline springs, Alps</t>
  </si>
  <si>
    <t>meylan vercors, alkaline springs, Alps</t>
  </si>
  <si>
    <t>u1496a 1f1</t>
  </si>
  <si>
    <t>13CD: 1.8 namps/H2D2: 1.8 namp</t>
  </si>
  <si>
    <t>13CD: 2.9 namps/H2D2: 2.3 namp</t>
  </si>
  <si>
    <t>Kidd Creek, 2018, KC7850-12261b-29012018 triplicate</t>
  </si>
  <si>
    <t>unstable signal on dD peak temporarily fixed by adjusting covers</t>
  </si>
  <si>
    <t>zero</t>
  </si>
  <si>
    <t>13CD: 2.6 namps/H2D2: 3.9 namp</t>
  </si>
  <si>
    <t>fractionated dD during introduction of gas by 0.8 permil. Explains both dD and 13D values</t>
  </si>
  <si>
    <t>Kidd Creek, 2018, KC7850-12299b-29012018</t>
  </si>
  <si>
    <t>Kidd Creek, 2018, KC7850-12261c-6-6-2017</t>
  </si>
  <si>
    <t>13CD: 2.9 namps/H2D2: 2.9 namp</t>
  </si>
  <si>
    <t xml:space="preserve"> clear dD structure over a range of 7 permil - similar to previous KC samples - see screenshot on jabrane's personal laptop</t>
  </si>
  <si>
    <t xml:space="preserve"> clear dD structure over a range of 7 permil - similar to previous KC samples -  No screenshot :(</t>
  </si>
  <si>
    <t xml:space="preserve"> clear dD structure over a range of 6 permil - similar to previous KC samples -  Find screenshot in 'jab screenshots' folder</t>
  </si>
  <si>
    <t>Kidd Creek, 2017, KC7850-12261c-6-6-2017</t>
  </si>
  <si>
    <t>ucla 2 - uk 2 mix - middle tank (true mix)</t>
  </si>
  <si>
    <t>ucla 2 - uk 2 mix -  middle tank (true mix) - dD rerun</t>
  </si>
  <si>
    <t>ucla 2 - uk 2 mix - middle tank (true mix) duplicate</t>
  </si>
  <si>
    <t>ucla 2 - uk 2 mix - left tank (poor mix, i.e. 95% UCLA 2)</t>
  </si>
  <si>
    <t>13CD: 2.8 namps/H2D2: 30 namp</t>
  </si>
  <si>
    <t>control sample penn state</t>
  </si>
  <si>
    <t>13CD: 3.4 namps/H2D2: 3.1 namp</t>
  </si>
  <si>
    <t>sample was so big that it had to be cut twice in the dual inlet</t>
  </si>
  <si>
    <t>Penn State mcr culture incubated for 6 hrs at 60C, then shaken over weekend</t>
  </si>
  <si>
    <t xml:space="preserve">13CD: </t>
  </si>
  <si>
    <t>13CD: 3.2 namps/H2D2: 3.0 namp</t>
  </si>
  <si>
    <t>Penn state MCR culture incubated at room temperature, 48hours</t>
  </si>
  <si>
    <t>13CD: 1.8 namps/H2D2:1.8 namp</t>
  </si>
  <si>
    <t>leavitt microbes - 250 cc bag3-bottle1</t>
  </si>
  <si>
    <t>13CD: 1.8 namps/H2D2:2.1 namp</t>
  </si>
  <si>
    <t>dD structure over 4 permil</t>
  </si>
  <si>
    <t>13CD: 3.2 namps/H2D2:2.7 namp</t>
  </si>
  <si>
    <t>no dD structure. Less than 3 permil dD spread</t>
  </si>
  <si>
    <t>AIRGAS-CH4tank-TT-SK</t>
  </si>
  <si>
    <t>13CD: 2.5 namps/H2D2:2.7 namp</t>
  </si>
  <si>
    <t>13CD: 2.5 namps/H2D2:2.3 namp</t>
  </si>
  <si>
    <t>506 bis</t>
  </si>
  <si>
    <t>sks-4 102017 taiwan</t>
  </si>
  <si>
    <t>13CD: 2.7 namps/H2D2:2.3 namp</t>
  </si>
  <si>
    <t>penn state, sample #3, 60C, 2hr</t>
  </si>
  <si>
    <t>13CD: 2.2 namps/H2D2:2.5 namp</t>
  </si>
  <si>
    <t>utica 14 -could not freeze entirely in DI- fractionated aliquot</t>
  </si>
  <si>
    <t>utica 14 - left aliquot</t>
  </si>
  <si>
    <t>utica 14 - mass balance of 2260 and 2262 [30 and 70%]</t>
  </si>
  <si>
    <t>YTES3-111617-taiwan</t>
  </si>
  <si>
    <t>Hiatus - N2 session</t>
  </si>
  <si>
    <t xml:space="preserve"> Santa-Barbara- sed slurry-non starving bacterias</t>
  </si>
  <si>
    <t>13CD: 2.5 namps/H2D2:2.4 namp</t>
  </si>
  <si>
    <t>wf3-111417 taiwan</t>
  </si>
  <si>
    <t>LD03-5 taiwan</t>
  </si>
  <si>
    <t>Santa-Barbara- sed slurry-SK- time point 1</t>
  </si>
  <si>
    <t>13CD: 3.0 namps/H2D2 3.0 namp</t>
  </si>
  <si>
    <t xml:space="preserve">LS4 111117 taiwan </t>
  </si>
  <si>
    <t>LS3 111117 taiwan -  duplicate of 514</t>
  </si>
  <si>
    <t>13CD: 2.8 namps/H2D2 2.7 namp</t>
  </si>
  <si>
    <t>LS3 111117 taiwan - fractionated on the line</t>
  </si>
  <si>
    <t>lgh1-2 taiwan</t>
  </si>
  <si>
    <t>13CD: 3.4 namps/H2D2 2.7 namp</t>
  </si>
  <si>
    <t>penn state tank</t>
  </si>
  <si>
    <t>13CD: 3.4 namps/H2D2 2.5 namp</t>
  </si>
  <si>
    <t>Utica</t>
  </si>
  <si>
    <t>13CD: 2.04 namps/H2D2:1.96 namp</t>
  </si>
  <si>
    <t>Ms. mazei on TMA cultured by JLA at Radboud University (EE)</t>
  </si>
  <si>
    <t>13CD: 1.95 namps/H2D2:1.69 namp</t>
  </si>
  <si>
    <t>Ms. mazei on MeOH cultured by JLA at Radboud University (OO)</t>
  </si>
  <si>
    <t>13CD: 1.42 namps/H2D2: 2.12 namp</t>
  </si>
  <si>
    <t>M. shengliensis on TMB (K) cultured by JLA at Radboud University</t>
  </si>
  <si>
    <t>M luminyensis on TMA+H2 (II) cultured by JLA at Radboud University</t>
  </si>
  <si>
    <t>princeton ch4 tank</t>
  </si>
  <si>
    <t>M luminyensis on MeOH+H2 (KK) cultured by JLA at Radboud University</t>
  </si>
  <si>
    <t>M luminyensis on dilute MeOH+H2 (V) cultured by JLA at Radboud University</t>
  </si>
  <si>
    <t>13CD: 2.52 namps/H2D2: 2.43 namp</t>
  </si>
  <si>
    <t>M luminyensis on dilute TMA+H2 (U) cultured by JLA at Radboud University</t>
  </si>
  <si>
    <t>13CD: 2.65 namps/H2D2: 2.89 namp</t>
  </si>
  <si>
    <t>M shengliensis on dilute MeOH (C) cultured by JLA at Radboud University</t>
  </si>
  <si>
    <t>Tank CH4 from MPI-MMIC from Jana Milucka for JLA AOM Exp</t>
  </si>
  <si>
    <t>13CD: 3.43 namps/H2D2: 3.08 namp</t>
  </si>
  <si>
    <t>Tank CH4 from UBremen from Gunter Wegener for JLA AOM Exp</t>
  </si>
  <si>
    <t>13CD: 3.22 namps/H2D2: 3.13 namp</t>
  </si>
  <si>
    <t>13CD: 2.63 namps/H2D2: 2.78 namp</t>
  </si>
  <si>
    <t>13CD: 2.21 namps/H2D2: 3.194namp</t>
  </si>
  <si>
    <t>13CD: 2.83 namps/H2D2: 2.99 namp</t>
  </si>
  <si>
    <t>13CD: 1.48 namps/H2D2: 2.37 namp</t>
  </si>
  <si>
    <t>M. shengliensis on dilute TMB (M) cultured by JLA at Radboud University</t>
  </si>
  <si>
    <t>13CD: 2.72 namps/H2D2: 2.64 namp</t>
  </si>
  <si>
    <t>M. shengliensis on MeOH (D) cultured by JLA at Radboud University</t>
  </si>
  <si>
    <t>13CD: 1.91 namps/H2D2:3.12 namp</t>
  </si>
  <si>
    <t>13CD: 2.74 namps/H2D2:3.12 namp</t>
  </si>
  <si>
    <t xml:space="preserve"> Santa-Barbara- sed slurry-SK-8 days [O2 detected in gas]</t>
  </si>
  <si>
    <t>sed slurry 3 - duplicate from scratch of sample 511 -3 days</t>
  </si>
  <si>
    <t>gasport - thomas giunta</t>
  </si>
  <si>
    <t>barcelona - thomas giunta</t>
  </si>
  <si>
    <t>BE326-pc1-so4-40c-AOM-princeton</t>
  </si>
  <si>
    <t>BE326-pc1-fe2O3-40C-AOM--princeton</t>
  </si>
  <si>
    <t>13CD: 2.4 namps/H2D2:2.1 namp</t>
  </si>
  <si>
    <t>BE326-pc2-AE-40C-AOM--princeton</t>
  </si>
  <si>
    <t>eternal flamme thomas giunta</t>
  </si>
  <si>
    <t>amherst thomas giunta</t>
  </si>
  <si>
    <t>sed slurry 4 - 8 days duplicate</t>
  </si>
  <si>
    <t>utica</t>
  </si>
  <si>
    <t>penn state whole cells - yellow solution</t>
  </si>
  <si>
    <t>penn state whole cells - red solution</t>
  </si>
  <si>
    <t>13CD: 3.5 namps/H2D2: 3.5 namp</t>
  </si>
  <si>
    <t>West Falls 2 - Thomas Giunta</t>
  </si>
  <si>
    <t>13CD: 3.5 namps/H2D2:3.5 namp</t>
  </si>
  <si>
    <t>13CD: 1.2 namps/H2D2:1.2 namp</t>
  </si>
  <si>
    <t>13CD: 1.6 namps/H2D2:1.6 namp</t>
  </si>
  <si>
    <t>Oman BS1-A - NSHQ4</t>
  </si>
  <si>
    <t>Oman BS2-A - CM2A</t>
  </si>
  <si>
    <t>GC plumbing  fixed by Ed - now fully quantitative</t>
  </si>
  <si>
    <t>West Falls 1 - Thomas Giunta</t>
  </si>
  <si>
    <t>13CD: 3.3 namps/H2D2:3.8 namp</t>
  </si>
  <si>
    <t>Oman BS2-b-NSHq-14</t>
  </si>
  <si>
    <t>two weeks hiatus - idle panorama</t>
  </si>
  <si>
    <t>13CD: 3.8 namps/H2D2:1.6 namp</t>
  </si>
  <si>
    <t xml:space="preserve">Tiogaux - Olivier Sissmann - Vercors 2018 </t>
  </si>
  <si>
    <t>13CD: 3.8 namps/H2D2:3.8 namp</t>
  </si>
  <si>
    <t>Tiogaux from scratch - quick complete rerun</t>
  </si>
  <si>
    <t>LeGoa 3 - true -vercors 2018</t>
  </si>
  <si>
    <t>meylan 2 - vercors 2018</t>
  </si>
  <si>
    <t>Le Goa 2 - Vercors 2018</t>
  </si>
  <si>
    <t>Santa Barbara 2 months incubation</t>
  </si>
  <si>
    <t>13CD: 3.1 namps/H2D2:2.5 namp</t>
  </si>
  <si>
    <t>Bourdyur - short run for dD and d13C</t>
  </si>
  <si>
    <t xml:space="preserve"> santa barbara oxidation 28 mmol Sulfate</t>
  </si>
  <si>
    <t>13CD: 34 namps/H2D2:34 namp</t>
  </si>
  <si>
    <t>13CD: 2.21 namps/H2D2: 2.44 namp</t>
  </si>
  <si>
    <t>M shengliensis on  MeOH (F) cultured by JLA at Radboud University</t>
  </si>
  <si>
    <t>13CD: 2.64 namps/H2D2: 2.2 namp</t>
  </si>
  <si>
    <t>M shengliensis on  dilute MeOH (B) cultured by JLA at Radboud University</t>
  </si>
  <si>
    <t>13CD: 3.099 namps/H2D2: 3.10 namp</t>
  </si>
  <si>
    <t>M shengliensis on  MeOH (E) cultured by JLA at Radboud University</t>
  </si>
  <si>
    <t>Ms. mazei on CO2 +H2 (H) cultured by JLA at Radboud University</t>
  </si>
  <si>
    <t>13CD: 2.186 namps/H2D2: 2.2 namp</t>
  </si>
  <si>
    <t>trap dropped overnight during run 2519</t>
  </si>
  <si>
    <t>M. luminyensis on dilute MeOH +H2 (R) cultured by JLA at Radboud University</t>
  </si>
  <si>
    <t>13CD: 2.186 namps/H2D2: 2.69 namp</t>
  </si>
  <si>
    <t>13CD: 34 namps/H2D2:35.5 namp</t>
  </si>
  <si>
    <t xml:space="preserve"> santa barbara oxidation - 5 day - 38 mmol Sulfate</t>
  </si>
  <si>
    <t>M. luminyensis on dilute TMA +H2 (Y) cultured by JLA at Radboud University</t>
  </si>
  <si>
    <t>M. luminyensis on MeOH +H2 (LL) cultured by JLA at Radboud University</t>
  </si>
  <si>
    <t>trap dropped overnight after run 2526</t>
  </si>
  <si>
    <t>PL335 A1-OH-3-3 CH4 oxidation with OH</t>
  </si>
  <si>
    <t>CH4 oxidation by OH - MIT -  - control sample - PL318 D2:blank control</t>
  </si>
  <si>
    <t xml:space="preserve">   </t>
  </si>
  <si>
    <t>Nitrate 40C AOM Princeton</t>
  </si>
  <si>
    <t>Lake, Laura Lapham - L79a may8/17 #16</t>
  </si>
  <si>
    <t>690 PL322 Cl-3-3 CH4 oxidation with cl</t>
  </si>
  <si>
    <t>trap dropped on the 27th after run 2536</t>
  </si>
  <si>
    <t xml:space="preserve"> santa barbara oxidation - 10 day - 35 mmol Sulfate</t>
  </si>
  <si>
    <t>nitrite aom princeton 500 days</t>
  </si>
  <si>
    <t>0.0.125</t>
  </si>
  <si>
    <t>Utica Shale gas CH4, this gas was likely fractionated by Doug : &gt;) 1 bar at least, was cut</t>
  </si>
  <si>
    <t>Yellow = significant mass spec or vacuum line events; Red type = reject as specified; orange text = cut on vacuum line after GC, likely to be bad; red text = known fractionation problems; green fill = ucla 2; blue fill = Utica gas</t>
  </si>
  <si>
    <t>13C:_14to16nams; 12D: 19.2</t>
  </si>
  <si>
    <r>
      <t>Deuterated bottle #</t>
    </r>
    <r>
      <rPr>
        <i/>
        <sz val="10"/>
        <color theme="1"/>
        <rFont val="Calibri"/>
        <family val="2"/>
        <scheme val="minor"/>
      </rPr>
      <t>1</t>
    </r>
    <r>
      <rPr>
        <sz val="10"/>
        <color theme="1"/>
        <rFont val="Calibri"/>
        <family val="2"/>
        <scheme val="minor"/>
      </rPr>
      <t xml:space="preserve"> P stutzeri Leavitt</t>
    </r>
  </si>
  <si>
    <t>13C: ...s; 12D: 16.2</t>
  </si>
  <si>
    <t>trap failed, reran as 2560, 12 blocks</t>
  </si>
  <si>
    <t>Nitrate P Stutz Media Bottle #1, Leavitt Aug 2018</t>
  </si>
  <si>
    <t>Freshwater Strains Leavitt</t>
  </si>
  <si>
    <t>Deuterated Water Experiment 2.1 Leavitt</t>
  </si>
  <si>
    <t xml:space="preserve"> nitrate 30C P stutz 4L bags -</t>
  </si>
  <si>
    <t>13C: 11V; 12D: 16.2</t>
  </si>
  <si>
    <t>Fe AOM princeton 500 days</t>
  </si>
  <si>
    <t>nitrite aom princeton 350 days</t>
  </si>
  <si>
    <t>Dartmouth microbes serum bottle #5 leavitt</t>
  </si>
  <si>
    <t>LCHW-111317-taiwan mud volcano</t>
  </si>
  <si>
    <t>WD-051518-taiwan mud volcano</t>
  </si>
  <si>
    <t>KSP-102017-taiwan mud volcano</t>
  </si>
  <si>
    <t>KSP-4-102017-taiwan mud volcano</t>
  </si>
  <si>
    <t>AT4-092317taiwan mud volcano</t>
  </si>
  <si>
    <t>SYNH01-4_111317taiwan mud volcano</t>
  </si>
  <si>
    <t>WSD02-3 121517taiwan mud volcano</t>
  </si>
  <si>
    <t>synh01-3-111317taiwan mud volcano</t>
  </si>
  <si>
    <t>synh02-112218-taiwan mud volcano</t>
  </si>
  <si>
    <t>FWCR-gashydrate-Taiwan</t>
  </si>
  <si>
    <t>synh01-112218-taiwan mud volcano</t>
  </si>
  <si>
    <t>terrible peak on L3 during h2d2 measurement, abort it and run a new sample</t>
  </si>
  <si>
    <t>SYNH04-112218-Taiwan</t>
  </si>
  <si>
    <t>Formosa ridge-110718-Taiwan</t>
  </si>
  <si>
    <t>LZSE-010418-Taiwan hot spring</t>
  </si>
  <si>
    <t>13CD: 19 namps/H2D2:19.5 namp</t>
  </si>
  <si>
    <t xml:space="preserve"> japonais - neocaledonia - roy price - serpentinization site -bj191118</t>
  </si>
  <si>
    <t>13CD: 15 namps/H2D2:17.5 namp</t>
  </si>
  <si>
    <t>kaori neocaledonia roy price ks191118</t>
  </si>
  <si>
    <t>4 weeks hiatus - idle panorama, then CO2 session</t>
  </si>
  <si>
    <t>Rainbow serpentinization site - 2008 - Auberge</t>
  </si>
  <si>
    <t>lost city - beehive, Seewald</t>
  </si>
  <si>
    <t>rainbow site - guillaume - seewald</t>
  </si>
  <si>
    <t>rainbow CMSP_and_P</t>
  </si>
  <si>
    <t>lucky strike - isabel</t>
  </si>
  <si>
    <t>lucky strike - medea</t>
  </si>
  <si>
    <t>2 weeks hiatus - idle panorama</t>
  </si>
  <si>
    <t>utica - second 13D rerun</t>
  </si>
  <si>
    <t>utica - first 13D rerun</t>
  </si>
  <si>
    <t>increase in 13C and 13D : fractionation in the dual inlet line, on the left of A1?</t>
  </si>
  <si>
    <t>ucla2</t>
  </si>
  <si>
    <t>ucla2 - fully transferred in bellow</t>
  </si>
  <si>
    <t>ucla2 short rerun of 797, but only of the aliquot on the left of A1</t>
  </si>
  <si>
    <t>ucla2 - fully transferred in bellow as well - longer flushfill</t>
  </si>
  <si>
    <t>ucla2 - ref gas versus ref gas - no cut in the dual inlet</t>
  </si>
  <si>
    <t>ucla2 - ref gas versus ref gas - cut in the DI line</t>
  </si>
  <si>
    <t>brand new silica gel</t>
  </si>
  <si>
    <t>p_stutz 750 per mil bottle 1</t>
  </si>
  <si>
    <t>fil blew between runs</t>
  </si>
  <si>
    <t>p_stutz Ant Arctic Water 2</t>
  </si>
  <si>
    <t>p_stutz 3000 pmil added run</t>
  </si>
  <si>
    <t>p_stutz 3000 per mil bottle 2</t>
  </si>
  <si>
    <t>p_stutz Antarctic Water #1 4L bag</t>
  </si>
  <si>
    <t>p_stutz 750  #1 4L bag</t>
  </si>
  <si>
    <t>aiguille - new caledonia serpentinization site</t>
  </si>
  <si>
    <t>von damm old man tree itg8 - seewald</t>
  </si>
  <si>
    <t>von damm marker 1</t>
  </si>
  <si>
    <t xml:space="preserve">von damm summit </t>
  </si>
  <si>
    <t>guaymas theme park 4458 igt1</t>
  </si>
  <si>
    <t>st lucie - sulfur slopes - 270418 - bonifacie</t>
  </si>
  <si>
    <t>st lucie - gabriel crater -260418- bonifacie</t>
  </si>
  <si>
    <t>salt march - Sebastian krause - Layer 1 - methylamine food</t>
  </si>
  <si>
    <t xml:space="preserve">methane oxidation by chlorine - pl312 d9 c1 - 2 - 1 </t>
  </si>
  <si>
    <t>salt marsh Sebastian Krause - layer 1 - methanol food</t>
  </si>
  <si>
    <t>pl320 cl 3-1 mit oxidation</t>
  </si>
  <si>
    <t>princeton aom - 257 m - nitrite NO2-</t>
  </si>
  <si>
    <t>M-Trico aerobs culture - sebastian krause - - "set 2" - 3 days</t>
  </si>
  <si>
    <t>5500 bottle #1 - dartmouth</t>
  </si>
  <si>
    <t>3900 bottle #1 and #2 - dartmouth</t>
  </si>
  <si>
    <t>257 meters - 700 days - princeton aom - nitrate</t>
  </si>
  <si>
    <t>5500 dD bottle #2- dartmouth</t>
  </si>
  <si>
    <t>2782 Fe2O3 AOM 500days + 50 days</t>
  </si>
  <si>
    <t>2785 Krause_M.Trico_7Days</t>
  </si>
  <si>
    <t>Sil_60 2787 Tang</t>
  </si>
  <si>
    <t>2789 Utica Tang</t>
  </si>
  <si>
    <t>2791 Utica Hu</t>
  </si>
  <si>
    <t>HD947-IGT5-VT5 Chamorro Seamount</t>
  </si>
  <si>
    <t>HD945-IGT6-VT6 Chamorro Seamount</t>
  </si>
  <si>
    <t>HD941-IGT6-VT7 Chamorro Seamount</t>
  </si>
  <si>
    <t>M. luminyensis on dilute TMA+H2 (Y) rerun</t>
  </si>
  <si>
    <t>M. luminyensis on TMA+H2 QQ</t>
  </si>
  <si>
    <t>M. luminyensis on TMA+H2 HH</t>
  </si>
  <si>
    <t>Ms. mazei on MeOH NN</t>
  </si>
  <si>
    <t>zero enrichment test</t>
  </si>
  <si>
    <t>Utica JL</t>
  </si>
  <si>
    <t>Lost City J1111 marker 2 titan sampler</t>
  </si>
  <si>
    <t>lost city - j1110 - marker c - 'lost city 18, 20 sept 0047 Titan sampler - TGT'</t>
  </si>
  <si>
    <t>lost city - j1107 - marker 2 imax flange -cut 1 combined with cut 3 -  'lost city 18, 16 sept 1841 GT9 red, GT sampler</t>
  </si>
  <si>
    <t>lost city - j1110 - marker c  -cut 1 combined with cut 3 -  'lost city 18, 20 sept 0023 GT18, GT sampler</t>
  </si>
  <si>
    <t>FTT2 250 C 24 hrs -  40 micromoles of ch4</t>
  </si>
  <si>
    <t>FTT3 210 C 24 hrs - 50 micromoles ch4</t>
  </si>
  <si>
    <t>FTT4 170 C 24 hrs - 65 micromoles of ch4</t>
  </si>
  <si>
    <t>FTT 130 C - 75 microloes ch4</t>
  </si>
  <si>
    <t>FTT1 250 C 24 hrs - 35 micromoles ch4</t>
  </si>
  <si>
    <t>m trico_aerobs_74 days - sebastian krause</t>
  </si>
  <si>
    <t>m trico_aerobs rep2_79 days - sebastian krause</t>
  </si>
  <si>
    <t>m cap_aerobs rep2_82 days - sebastian krause</t>
  </si>
  <si>
    <t>Pavin Lake_sediment 2 - 40cm (T.giunta)</t>
  </si>
  <si>
    <t>Pavin Lake_PV-90-1 (T.giunta)</t>
  </si>
  <si>
    <t>Pavin Lake_PV-70-1 (T.giunta)</t>
  </si>
  <si>
    <t>Pavin Lake_PV-70-2 (T.giunta)</t>
  </si>
  <si>
    <t>UCLA2_trapped with He</t>
  </si>
  <si>
    <t>UCLA2 trapped with he no co2 trap</t>
  </si>
  <si>
    <t>Pavin Lake PV-60-500</t>
  </si>
  <si>
    <t>Pavin Lake PV-55-1000 TG</t>
  </si>
  <si>
    <t>Pavin Lake sed 1</t>
  </si>
  <si>
    <t>Black Sea- GC02_S6</t>
  </si>
  <si>
    <t>Black Sea- GC02_S3</t>
  </si>
  <si>
    <t>Black Sea- GC02_S4</t>
  </si>
  <si>
    <t>Black Sea- GC01_S2</t>
  </si>
  <si>
    <t>Black Sea- GC01_S3</t>
  </si>
  <si>
    <t>Black Sea- GC01_S4</t>
  </si>
  <si>
    <t>1026a-f</t>
  </si>
  <si>
    <t>1027a-d</t>
  </si>
  <si>
    <t>1029a-b</t>
  </si>
  <si>
    <t>385_U1550B-11H-2 115-120</t>
  </si>
  <si>
    <t>13CD: 2.74 namps/H2D2:3.3 namp</t>
  </si>
  <si>
    <t>1030a-g</t>
  </si>
  <si>
    <t>385_U1550A-30X-CC_0-8 ROCKVAC</t>
  </si>
  <si>
    <t>12ch2d2 combined from 2331 and 2330; calculated using weighted mean from running total results</t>
  </si>
  <si>
    <t>385_U1550A-12H-6 VOID GAS</t>
  </si>
  <si>
    <t>13CD: 3.03 namps/H2D2: 2.94 namp</t>
  </si>
  <si>
    <t>13CD: 2.0 namps/H2D2: 2.22 namp</t>
  </si>
  <si>
    <t>13CD: 2.19  CH2D2: 2.76 namps</t>
  </si>
  <si>
    <t>13CD: 1.99  H2D2: 2.18 namps</t>
  </si>
  <si>
    <t>13CD: 2.01 H2D2: 2.24 namps</t>
  </si>
  <si>
    <t>13CD: 2.00 H2D2: 1.98 namps</t>
  </si>
  <si>
    <t>13CD: 1.8 H2D2: 1.83 namps</t>
  </si>
  <si>
    <t>1032a-f</t>
  </si>
  <si>
    <t>385_U1547E-4R-2-05_35-47 ROCKVAC</t>
  </si>
  <si>
    <t>385_U1550A-27X-3 VOIDGAS</t>
  </si>
  <si>
    <t>1034a-i</t>
  </si>
  <si>
    <t>385_U1547E-7R-1-06_48-56 ROCKVAC</t>
  </si>
  <si>
    <t>13CD: 3.13 12H2D2: 2.90</t>
  </si>
  <si>
    <t>13CD: 2.98 12H2D2: 2.21</t>
  </si>
  <si>
    <t>385_U1547E-11R--05_38-54 ROCKVAC</t>
  </si>
  <si>
    <t>13CD: 2.25 12H2D2: 2.33</t>
  </si>
  <si>
    <t>385_U1547E-17R-2-11_96-105 ROCKVAC, Gulf of California</t>
  </si>
  <si>
    <t>385_U1550A-16F-2 VOID GAS</t>
  </si>
  <si>
    <t>M.tricho_75%_loss, no obvious shfit</t>
  </si>
  <si>
    <t>M-Trico aerobs culture - "set 2" - 3 days</t>
  </si>
  <si>
    <t>synh02-092319MV mud volcano taiwan-rerun</t>
  </si>
  <si>
    <t>synh02-092319MV mud volcano taiwan</t>
  </si>
  <si>
    <t>synh02-021020MV mud volcano taiwan</t>
  </si>
  <si>
    <t>synh02-102119MV mud volcano taiwan</t>
  </si>
  <si>
    <t>synh02-102119-rerunMV mud volcano taiwan</t>
  </si>
  <si>
    <t>methanotroph-T0- Taiwan FeiCui reservoir</t>
  </si>
  <si>
    <t>methanotroph-T2- Taiwan FeiCui reservoir</t>
  </si>
  <si>
    <t>methanotroph-T4- Taiwan FeiCui reservoir</t>
  </si>
  <si>
    <t>methanotroph-T3- Taiwan FeiCui reservoir</t>
  </si>
  <si>
    <t>fumarole - dominica -  cold soufriere - v7</t>
  </si>
  <si>
    <t>fumarole - dominica -  wotten waven AO</t>
  </si>
  <si>
    <t>FTT8 183 C</t>
  </si>
  <si>
    <t>Fumarole dominica - bubbling pool AI</t>
  </si>
  <si>
    <t>FTT6 183 C 24 hrs - 70 micromoles of ch4</t>
  </si>
  <si>
    <t>1069 aerobic oxidation, 20 micromoles residual CH4</t>
  </si>
  <si>
    <t>aerobic oxidation zero time</t>
  </si>
  <si>
    <t>aerobic oxidation T1 (12Days)</t>
  </si>
  <si>
    <t>aerobic oxidation T2 (15Days)</t>
  </si>
  <si>
    <t>aerobic oxidation (Pure Cultures on Plates) T3 (15Days)</t>
  </si>
  <si>
    <t>aerobic oxidation (Pure Cultures Agar plates) T0_1 (For Short Incubations)</t>
  </si>
  <si>
    <t>aerobic oxidation (Pure Cultures Agar plates) T1_1 (1-day)</t>
  </si>
  <si>
    <t>aerobic oxidation (Pure Cultures Agar plates) T2_1 (3-day)</t>
  </si>
  <si>
    <t>@23:00 (12/3/20) noticed that the wrong analysis file (13CH3D) was when we needed (12CH2D2). Aborted the run and restarted run on correct file. Lost 20% of the gas. Still got 20 blocks on 12CH2D2. 13CH3D will run on 22% gas.</t>
  </si>
  <si>
    <t>SR-AOM Svalbard slurry high sulfate T0</t>
  </si>
  <si>
    <t>Svalbard Slurry SR-AOM test run 1</t>
  </si>
  <si>
    <t>aerobic oxidation (Pure Cultures Agar plates) T3_1 (4-day)</t>
  </si>
  <si>
    <t>aerobic oxidation (Pure Cultures Agar plates) T4_1 (7-day)</t>
  </si>
  <si>
    <t>aerobic oxidation (Pure Cultures Agar plates) T5 (9-day)</t>
  </si>
  <si>
    <t>Azerbaijan mud volcano 10 Demirchi grey</t>
  </si>
  <si>
    <t>Azerbaijan mud volcano 1 Solakhay</t>
  </si>
  <si>
    <t>M_barkeri_Combi_001_-50permil_H2_CO2_1_Dartmouth</t>
  </si>
  <si>
    <t>SR-AOM Svalbard slurry high sulfate T1</t>
  </si>
  <si>
    <t>M_barkeri_Combi_016_3000permil_H2_CO2_1_Dartmouth</t>
  </si>
  <si>
    <t>SR-AOM Svalbard slurry low sulfate T1</t>
  </si>
  <si>
    <t>M_barkeri_Combi_034_9000permil_H2_CO2_4_Dartmouth</t>
  </si>
  <si>
    <t>At 20:50 (4/2/2021) Power outage during this run, Panorama shutdown. Exact number of blocks for 13CH3D is unknown, possibly 16-17.</t>
  </si>
  <si>
    <t>SR-AOM Svalbard slurry high sulfate T2</t>
  </si>
  <si>
    <t>M_barkeri_Combi_009_-50permil_MeOH_4_Dartmouth</t>
  </si>
  <si>
    <t>M_barkeri_Combi_024_3000permil_MeOH_4_Dartmouth</t>
  </si>
  <si>
    <t>Treude lab tank gas_Abotic control T0</t>
  </si>
  <si>
    <t>M_barkeri_Combi_039_9000permil_MeOH_4_Dartmouth</t>
  </si>
  <si>
    <t>Reference gas_UCLA-2</t>
  </si>
  <si>
    <t>SR-AOM Svalbard slurry low sulfate T2</t>
  </si>
  <si>
    <t>Utica_Jiawen</t>
  </si>
  <si>
    <t>M_barkeri_Combi_011_-50permil_Acet_1_Dartmouth</t>
  </si>
  <si>
    <t>M_barkeri_Combi_026_3000permil_Acet_1_Dartmouth</t>
  </si>
  <si>
    <t>M_barkeri_Combi_042_9000permil_Acet_2_Dartmouth</t>
  </si>
  <si>
    <t>M_barkeri_Combi_025_3000permil_MeOH_5_Dartmouth</t>
  </si>
  <si>
    <t>M_barkeri_Combi_040_9000permil_MeOH_5_Dartmouth</t>
  </si>
  <si>
    <t>M_barkeri_Combi_027_3000permil_Acet_2_Dartmouth</t>
  </si>
  <si>
    <t>CLP-112720_Taiwan mud volcano</t>
  </si>
  <si>
    <t>methanotroph-T1- Taiwan FeiCui reservoir</t>
  </si>
  <si>
    <t>SR-AOM Svalbard slurry_Exp. 2_ low sulfate T0</t>
  </si>
  <si>
    <t>CLP-081920_Taiwan mud volcano</t>
  </si>
  <si>
    <t>CLP-122920_Taiwan</t>
  </si>
  <si>
    <t>CLP-022621_Taiwan mud volcano</t>
  </si>
  <si>
    <t>CLP-042321_Taiwan</t>
  </si>
  <si>
    <t>SR-AOM Svalbard slurry_Exp. 2_ low sulfate T1</t>
  </si>
  <si>
    <t>CLP-102320_Taiwan mud volcano</t>
  </si>
  <si>
    <t>SR-AOM Svalbard slurry_Exp. 2_ low sulfate T2</t>
  </si>
  <si>
    <t>SR-AOM Svalbard slurry_Exp. 2_high sulfate T1</t>
  </si>
  <si>
    <t>aerobic-A-T0-Taiwan Feicui reservoir</t>
  </si>
  <si>
    <t>rerun-aerobic-A-T0-Taiwan Feicui reservoir</t>
  </si>
  <si>
    <t>aerobic-A-T1-Taiwan Feicui reservoir</t>
  </si>
  <si>
    <t>aerobic-A-T1-Taiwan Feicui reservoir-rerun13Ch3d</t>
  </si>
  <si>
    <t>13Ch3d is weird, squeeze bellow A too small 2%</t>
  </si>
  <si>
    <t>gas pressure is small,p=49 mbr</t>
  </si>
  <si>
    <t>gas pressure is small, p=57 mbr</t>
  </si>
  <si>
    <t>gas pressure is small,p=43 mbr</t>
  </si>
  <si>
    <t>EQUILIBRIUM CURVE</t>
  </si>
  <si>
    <t>Temp °C</t>
  </si>
  <si>
    <t>D13CH3D</t>
  </si>
  <si>
    <t>D12CH2D2</t>
  </si>
  <si>
    <t>-20 °C</t>
  </si>
  <si>
    <t>0 °C</t>
  </si>
  <si>
    <t>20 °C</t>
  </si>
  <si>
    <t>50 °C</t>
  </si>
  <si>
    <t>100 °C</t>
  </si>
  <si>
    <t>200 °C</t>
  </si>
  <si>
    <t>300 °C</t>
  </si>
  <si>
    <t>aerobic-A-T4-Taiwan Feicui reservoir</t>
  </si>
  <si>
    <t>aerobic-a-T2- Taiwan FeiCui reservoir</t>
  </si>
  <si>
    <t>Azerbaijan mud volcano 2 Ayrantoken</t>
  </si>
  <si>
    <t>Azerbaijan mud volcano 3 Dashgil</t>
  </si>
  <si>
    <t>1123+1124</t>
  </si>
  <si>
    <t>aerobic-A-T3-Taiwan Feicui reservoir</t>
  </si>
  <si>
    <t>091820-CLP-Taiwan MV</t>
  </si>
  <si>
    <t>032621-CLP-Taiwan MV</t>
  </si>
  <si>
    <t>Azerbaijan mud volcano 4 Bahar</t>
  </si>
  <si>
    <t>SR-AOM Svalbard slurry_Exp. 2_ low sulfate T3</t>
  </si>
  <si>
    <t>1129-071420-CLP-TAIWAN MV</t>
  </si>
  <si>
    <t>Azerbaijan mud volcano 5 Shikhzarli</t>
  </si>
  <si>
    <t>111819-SYNH02-TAIWAN MV</t>
  </si>
  <si>
    <t>011320-SYNH02-TAIWAN MV</t>
  </si>
  <si>
    <t>021020-CLP-TAIWAN mv</t>
  </si>
  <si>
    <t>092319-CLP-Taiwan MV</t>
  </si>
  <si>
    <t>SR-AOM Svalbard slurry_Exp. 2_high sulfate T2</t>
  </si>
  <si>
    <t>SR-AOM Svalbard slurry_Exp. 2_ low sulfate T4</t>
  </si>
  <si>
    <t>SR-AOM Svalbard slurry_Exp. 2_high sulfate T3</t>
  </si>
  <si>
    <t>Utica_chopped</t>
  </si>
  <si>
    <t>x</t>
  </si>
  <si>
    <t>M_barkeri_Combi_041_9000permil_Acet_1_Dartmouth</t>
  </si>
  <si>
    <t>M_barkeri_Combi_012_-50permil_Acet_2_Dartmouth</t>
  </si>
  <si>
    <t>13D not run, sample fractionated on vac line</t>
  </si>
  <si>
    <t>M_barkeri_Combi_010_-50permil_MeOH_5_Dartmouth</t>
  </si>
  <si>
    <t>M_barkeri_Combi_005_-50permil_H2_CO2_5_Dartmouth</t>
  </si>
  <si>
    <t>looked good, intentionally stopped early, values look good</t>
  </si>
  <si>
    <t xml:space="preserve">looked good. sample bellows ran out on 13D, plenty of gas left in A1, but chose to juse end run here. Precision equal to other replicate. </t>
  </si>
  <si>
    <t xml:space="preserve">D13 weird: large sample brought to mass spec, was chopped from 350 to 50 mbar behind A1. </t>
  </si>
  <si>
    <t>D13 weird: Two-GC passes ; something looks off in D13C?; Stopped and restarted for D13, accounts for run 3302-3303</t>
  </si>
  <si>
    <t>M_barkeri_Combi_005_-50permil_H2_CO2_5_Dartmouth_Repeat</t>
  </si>
  <si>
    <t>Repeat of 1161 fresh cut from tube</t>
  </si>
  <si>
    <t>Utica_wdl_refocused_17beam</t>
  </si>
  <si>
    <t xml:space="preserve"> re-focusing and eliminating shoulder on `17-beam, enriched bulk dD and d12CH2D2, but decent D12CH2D2 after 5blocks. Maybe fractionated in A1 w. cold finger Si-gel?  All bulk are slighlty enriched from last time Utica was run (1096 by Jiawen) but clumps look GOOD! NOTE: few blocks, so little delt's might not have settled in in both systems? </t>
  </si>
  <si>
    <t>D12 run, then D13 had to add samp from A1. Looks OK, maybe a tad heavy in D13? Could be from inside bellows/A1 mixing? D12 Looks ok, but not great</t>
  </si>
  <si>
    <t xml:space="preserve">Freeze in so none behind A1. Initiall was 2.9e-10 on 16 at expanded bellows. </t>
  </si>
  <si>
    <t>M_barkeri_Combi_020_3000permil_H2_CO2_5_Dartmouth_wdl</t>
  </si>
  <si>
    <t>SR-AOM Svalbard slurry_Exp. 2_low sulfate T5</t>
  </si>
  <si>
    <t>M_barkeri_Combi_008_-50permil_MeOH_3_Dartmouth_wdl</t>
  </si>
  <si>
    <t>Mcapsulatus_37C_nocell_control_Dartmouth_BC_wdl</t>
  </si>
  <si>
    <t>used prior d13; rebalance and tried d12/d12CH2D2 again</t>
  </si>
  <si>
    <t>Bellow sbalance auto was unchecked for D12 somehow. Notices at block 22 and manually balanced till 30; re-checkd for analysis of d13C</t>
  </si>
  <si>
    <t>Dartmouth tank gas from 10 Feb 2022 taken by Jiawen, processed at UCLA by WDL' D13CH3D is WEIRD!</t>
  </si>
  <si>
    <t>Dartmouth001_CH4_tank_20220210draw_JL_WDL</t>
  </si>
  <si>
    <t>Mcaps_37C_t2_C2_20211025_BC_WDL</t>
  </si>
  <si>
    <t>Added more ref gas after D12 before D13, just from side (not fresh from tank) did the 2block run to compare to sample, looked good on D12, then switche dto D13.</t>
  </si>
  <si>
    <t>Mcaps_RT_t4_C2_20220114_JL_wdl</t>
  </si>
  <si>
    <t>M_barkeri_Combi_035_9000permil_H2CO2_rep5_Dartmouth_wdl</t>
  </si>
  <si>
    <t>M_barkeri_Combi_003_-50permil_H2CO2_3_Dartmouth_wdl_ReFocus_D12</t>
  </si>
  <si>
    <t>D12 is TOO enriched!</t>
  </si>
  <si>
    <t>Mcaps_37C_t4_C2_20211025_BC_WDL</t>
  </si>
  <si>
    <t xml:space="preserve">D12 is WAY too enriched. Perhaps a contaminant/water in the line that was brought over to here? </t>
  </si>
  <si>
    <t>Utica_wdl_test</t>
  </si>
  <si>
    <t xml:space="preserve">Test after a few weird samples w/ anomolous positive D12 on prior 2 samples; speculate it is water in U-trap getting to Si-gel. Utica D12 looks OK. The D13 is a little too heavy. This COULD be due to near saturation of Si gel in CF. </t>
  </si>
  <si>
    <t>D13 ran at 3.9e-10, a bit high; values look good</t>
  </si>
  <si>
    <t>looks good</t>
  </si>
  <si>
    <t>Mcaps_RoomT_t5_C2_20220115_JL_WDL_Dart</t>
  </si>
  <si>
    <t>Looks good</t>
  </si>
  <si>
    <t>Mcaps_37C_t1_C2_20211025_BC_WDL</t>
  </si>
  <si>
    <t>CSMR_St.3_Feb2022_in-situ gas</t>
  </si>
  <si>
    <t>Alaska thermokarst lake_A3_30-40 cm</t>
  </si>
  <si>
    <t>Leaking at the right of D1, reference gas may not be reliable; kept the gas sample in the vial overnight until loaded on mass spec.</t>
  </si>
  <si>
    <t>CH4_tank_gas_for_Mcaps_1_JL</t>
  </si>
  <si>
    <t>Mcaps_27C_Control_BC_AP_Dart</t>
  </si>
  <si>
    <t>Mcaps_37C_T1_C4_BC_JL_Dart</t>
  </si>
  <si>
    <t>Mcaps_room_temp_T3_C2_JL_BC_Dart</t>
  </si>
  <si>
    <t>Mcaps_37C_T3_C3_BC_JL_Dart</t>
  </si>
  <si>
    <t>Mcaps_room_temp_T5_C4_JL_BC_Dart</t>
  </si>
  <si>
    <t>Mbarkeri_combi_004_-50_H2CO2_4_ABC_Dart</t>
  </si>
  <si>
    <t>Forgot to close the VCR needle valve when trapping CO2 and H2O, reheat trap 3 and re-equilibrate for 3 minutes. Data looks ok</t>
  </si>
  <si>
    <t>Mbarkeri_combi_010_-50_MeOH_5_ABC_Dart</t>
  </si>
  <si>
    <t>Gas amount is too small, beam intensity low (below 2.0*10^10)</t>
  </si>
  <si>
    <t>Mcaps_37C_T4_C4_BC_JL_Dart</t>
  </si>
  <si>
    <t>Mcaps_room_temp_T4_C4_JL_BC_Dart</t>
  </si>
  <si>
    <t>CSMR_St.1_July2021 incubation_with Mo in 600 bottle_V1 from Dec2021</t>
  </si>
  <si>
    <t>CSMR_St.2_July2021 incubation_with Mo in 600 bottle</t>
  </si>
  <si>
    <t>Alaska thermokarst lake_A4_30-40 cm</t>
  </si>
  <si>
    <t>CSMR_St.3_July2021 incubation_with Mo in 600 bottle</t>
  </si>
  <si>
    <t>CSMR_St.4_July2021 incubation_with Mo in 600 bottle</t>
  </si>
  <si>
    <t>Azerbaijan mud volcano 6 Uchtepe</t>
  </si>
  <si>
    <t>Azerbaijan mud volcano 7 Pirekeshkul</t>
  </si>
  <si>
    <t>385_U1545B-31F-2_78-78 VOIDGAS</t>
  </si>
  <si>
    <t>13CD: 2.2; 12H2D2: 2.1</t>
  </si>
  <si>
    <t>385_U1545B-19F-2_86-86 VOIDGAS</t>
  </si>
  <si>
    <t>13CD: 2.3; 12H2D2: 2.7</t>
  </si>
  <si>
    <t>385-U1547B-24F-1_75-75 VOIDGAS</t>
  </si>
  <si>
    <t>385-U1547B-29F-2_61-61 VOIDGAS</t>
  </si>
  <si>
    <t>13CD: 2.23-2.8; 12H2D2: 2.8-2.6, ref having trouble matching samp bellows</t>
  </si>
  <si>
    <t>Down for bellows A maintenance</t>
  </si>
  <si>
    <t>13CD: 2.3; 12H2D2: 2.3, rejected due to bellows A problems</t>
  </si>
  <si>
    <t>385-U1547B-21F-4_11-11 VOIDGAS</t>
  </si>
  <si>
    <t>leaking at bellow D</t>
  </si>
  <si>
    <t>CSMR ST2-2 in-situ methane</t>
  </si>
  <si>
    <t>CSMR ST1-2 in-situ methane</t>
  </si>
  <si>
    <t>Azerbaijan mud volcano 8 Kichik Mereze</t>
  </si>
  <si>
    <t>CSMR ST4-1 in-situ methane</t>
  </si>
  <si>
    <t>Azerbaijan mud volcano 9 Demirchi brown</t>
  </si>
  <si>
    <t>Utica_JL</t>
  </si>
  <si>
    <t>vacuum line was leaking</t>
  </si>
  <si>
    <t>Mcaps_5uM_Cu_Ctrl2_Dartmouth</t>
  </si>
  <si>
    <t>Mcaps_5uM_Cu_Ctrl2_Dartmouth_13CD_remeasured</t>
  </si>
  <si>
    <t>13CD is remeasured using the gas to the left of A1, for comparison with the previous one</t>
  </si>
  <si>
    <t>Mcaps_5uM_Cu_T3_C1_Dartmouth</t>
  </si>
  <si>
    <t>Mcaps_Cu_free_T4_C1_Dartmouth</t>
  </si>
  <si>
    <t>Mcaps_50uM_Cu_T4_C1_Dartmouth</t>
  </si>
  <si>
    <t>Had some He when freezing CH4 into the collection vial, pumped to base line while freezing</t>
  </si>
  <si>
    <t>Mcaps_5uM_Cu_T1_C3_Dartmouth</t>
  </si>
  <si>
    <t>Mcaps_Cu_free_T2_C2_Dartmouth</t>
  </si>
  <si>
    <t>Mcaps_50uM_Cu_T3_C2_Dartmouth</t>
  </si>
  <si>
    <t>Mcaps_5uM_Cu_T2_C1_Dartmouth</t>
  </si>
  <si>
    <t>Intensity was very low (1.6e-10)</t>
  </si>
  <si>
    <t>Mcaps_50uM_Cu_T2_C2_Dartmouth</t>
  </si>
  <si>
    <t>pumped out the He gas when freezing at collecting vial</t>
  </si>
  <si>
    <t>Mcaps_27C_T4_C2_Dartmouth</t>
  </si>
  <si>
    <t>Gas amount too small, very low intensity 1.44e-10</t>
  </si>
  <si>
    <t>Mcaps_Cu_free_T3_C1_Dartmouth</t>
  </si>
  <si>
    <t>Mcaps_27C_T2_C2_BCAP_Dartmouth</t>
  </si>
  <si>
    <t>More notes</t>
  </si>
  <si>
    <r>
      <t>d</t>
    </r>
    <r>
      <rPr>
        <b/>
        <vertAlign val="superscript"/>
        <sz val="10"/>
        <rFont val="Calibri"/>
        <family val="2"/>
        <scheme val="minor"/>
      </rPr>
      <t>13</t>
    </r>
    <r>
      <rPr>
        <b/>
        <sz val="10"/>
        <rFont val="Calibri"/>
        <family val="2"/>
        <scheme val="minor"/>
      </rPr>
      <t>C  meas.</t>
    </r>
  </si>
  <si>
    <t>dD meas.</t>
  </si>
  <si>
    <r>
      <t>d</t>
    </r>
    <r>
      <rPr>
        <b/>
        <vertAlign val="superscript"/>
        <sz val="10"/>
        <rFont val="Calibri"/>
        <family val="2"/>
        <scheme val="minor"/>
      </rPr>
      <t>13</t>
    </r>
    <r>
      <rPr>
        <b/>
        <sz val="10"/>
        <rFont val="Calibri"/>
        <family val="2"/>
        <scheme val="minor"/>
      </rPr>
      <t>CH</t>
    </r>
    <r>
      <rPr>
        <b/>
        <vertAlign val="subscript"/>
        <sz val="10"/>
        <rFont val="Calibri"/>
        <family val="2"/>
        <scheme val="minor"/>
      </rPr>
      <t>3</t>
    </r>
    <r>
      <rPr>
        <b/>
        <sz val="10"/>
        <rFont val="Calibri"/>
        <family val="2"/>
        <scheme val="minor"/>
      </rPr>
      <t>D meas.</t>
    </r>
  </si>
  <si>
    <r>
      <t>d</t>
    </r>
    <r>
      <rPr>
        <b/>
        <vertAlign val="superscript"/>
        <sz val="10"/>
        <rFont val="Calibri"/>
        <family val="2"/>
        <scheme val="minor"/>
      </rPr>
      <t>12</t>
    </r>
    <r>
      <rPr>
        <b/>
        <sz val="10"/>
        <rFont val="Calibri"/>
        <family val="2"/>
        <scheme val="minor"/>
      </rPr>
      <t>CH</t>
    </r>
    <r>
      <rPr>
        <b/>
        <vertAlign val="subscript"/>
        <sz val="10"/>
        <rFont val="Calibri"/>
        <family val="2"/>
        <scheme val="minor"/>
      </rPr>
      <t>2</t>
    </r>
    <r>
      <rPr>
        <b/>
        <sz val="10"/>
        <rFont val="Calibri"/>
        <family val="2"/>
        <scheme val="minor"/>
      </rPr>
      <t>D</t>
    </r>
    <r>
      <rPr>
        <b/>
        <vertAlign val="subscript"/>
        <sz val="10"/>
        <rFont val="Calibri"/>
        <family val="2"/>
        <scheme val="minor"/>
      </rPr>
      <t>2</t>
    </r>
    <r>
      <rPr>
        <b/>
        <sz val="10"/>
        <rFont val="Calibri"/>
        <family val="2"/>
        <scheme val="minor"/>
      </rPr>
      <t xml:space="preserve"> meas.</t>
    </r>
  </si>
  <si>
    <t>Mcaps_27C_T3_C3_BCAP_Dartmouth</t>
  </si>
  <si>
    <t>Reloaded Ref. before this sample</t>
  </si>
  <si>
    <t>may have fractioned when mixing new A1 for D13 due to open valve to cpillary; Ed does NOT think so</t>
  </si>
  <si>
    <t>Mcaps_37C_T2_C1_BCJL_Dartmouth</t>
  </si>
  <si>
    <t>Mcaps_37C_T3_C3_JL_Dartmouth</t>
  </si>
  <si>
    <t>Mcaps_37C_0uMCu_T3_C3_JL_Dartmouth</t>
  </si>
  <si>
    <t>Mcaps_37C_50uMCu_T4_C2_JL_Dartmouth</t>
  </si>
  <si>
    <t>Mcaps_27C_T3_C4_BCAP_Dartmouth</t>
  </si>
  <si>
    <t>Mcaps_27C_T4_C1_BCAP_Dartmouth</t>
  </si>
  <si>
    <t>Mcaps_21C_T5_C3_JL_Dartmouth</t>
  </si>
  <si>
    <t>refreshed standard before this sample</t>
  </si>
  <si>
    <t>Mbark_500uM_PO4_t4_VN_Dartmouth</t>
  </si>
  <si>
    <t>Mbark_0uM_PO4_t5_VN_Dartmouth</t>
  </si>
  <si>
    <t>12D 1.9e10; 13D 1.75e10</t>
  </si>
  <si>
    <t>Mcaps_A_50uM_Cu_37C_t3_C1_JL_Dartmouth</t>
  </si>
  <si>
    <t>12D 2.6e10; only ran for 12D for a few blocks; missed start of peak on GC. See next sample</t>
  </si>
  <si>
    <t>Mcaps_B_50uM_Cu_37C_t3_C1_JL_Dartmouth</t>
  </si>
  <si>
    <t>12D 2.12e10; 13D 2.09e10</t>
  </si>
  <si>
    <t>Mbark_500uM_PO4_t6_VN_Dartmouth</t>
  </si>
  <si>
    <t>12D 2.58e-10; 13D 2.27e-10</t>
  </si>
  <si>
    <t>Mbark_0uM_PO4_t6_VN_Dartmouth</t>
  </si>
  <si>
    <t>12D 1.85e-10; 13D 1.64e-10</t>
  </si>
  <si>
    <t>12D 2.437e-10; 13D 2.3e-10</t>
  </si>
  <si>
    <t>Azerbaijan mud volcano 11 Khydyrly</t>
  </si>
  <si>
    <t>Azerbaijan mud volcano 12 Aghzybir</t>
  </si>
  <si>
    <t>Azerbaijan mud volcano 13 Garyja</t>
  </si>
  <si>
    <t>CSMR ST3 in-situ gas_long core_Sept 2022</t>
  </si>
  <si>
    <t>CSMR ST2 incubation with H2 and Mo_May 2022</t>
  </si>
  <si>
    <t>Alaska thermokarst lake_2022-BTL-shallow-VC-2_2/2_Borehole_gas</t>
  </si>
  <si>
    <t>Alaska thermokarst lake_2022-GSL-TK-VC-1-2.3</t>
  </si>
  <si>
    <t>Alaska thermokarst lake_2022-BTL-VC-1-1.2</t>
  </si>
  <si>
    <t>CSMR ST3 incubation with H2 and Mo_May 2022</t>
  </si>
  <si>
    <t>CSMR ST4 incubation with H2 and Mo_May 2022</t>
  </si>
  <si>
    <t>CSMR ST1 incubation with H2 and Mo_May 2022</t>
  </si>
  <si>
    <t>Discard 13D due to leak through O-ring near A1</t>
  </si>
  <si>
    <t>Alaska thermokarst lake_A5_5-10 cm</t>
  </si>
  <si>
    <t>Alaska thermokarst lake_A6_5-10 cm</t>
  </si>
  <si>
    <t>CSMR ST4 incubation with Mo</t>
  </si>
  <si>
    <t>large error</t>
  </si>
  <si>
    <t>CSMR ST3 incubation</t>
  </si>
  <si>
    <t>Alaska thermokarst lake_2022-BTL-VC-3-1.1</t>
  </si>
  <si>
    <t>Azerbaijan mud volcano 12 Aghzybir_replicate</t>
  </si>
  <si>
    <t>YNP22-MudVolcano5</t>
  </si>
  <si>
    <t>YNP22-Brimstone2</t>
  </si>
  <si>
    <t>YNP22-MudVolcano5-Replicate</t>
  </si>
  <si>
    <t>SP221019B-ITALY</t>
  </si>
  <si>
    <t>YNP-SQ1</t>
  </si>
  <si>
    <t>SF221019C</t>
  </si>
  <si>
    <t>FR221020b-ITALY</t>
  </si>
  <si>
    <t>YNP22-FP2-A3</t>
  </si>
  <si>
    <t>ITALY TA221020A</t>
  </si>
  <si>
    <t>CSMR ST3 in-situ gas jar 3 Feb 2023</t>
  </si>
  <si>
    <t>CSMR ST1 MMA incubation</t>
  </si>
  <si>
    <t>CSMR ST2 MMA incubation</t>
  </si>
  <si>
    <t>CSMR ST3 MMA incubation</t>
  </si>
  <si>
    <t>Alaska thermokarst lake_A3_30-40cm_run2</t>
  </si>
  <si>
    <t>CSMR ST3 in-situ gas jar 4 Feb 2023</t>
  </si>
  <si>
    <t>SBB GC2019 171-180CM 20</t>
  </si>
  <si>
    <t>Guaymas Basin PC-13 w Mo</t>
  </si>
  <si>
    <t>dartmouth_spike_T2_C2_3000</t>
  </si>
  <si>
    <t>dartmouth_spike_T2_C3_1500</t>
  </si>
  <si>
    <t>dartmouth_mcaps_T1_C1_1500</t>
  </si>
  <si>
    <t xml:space="preserve">LB_Heinze </t>
  </si>
  <si>
    <t>SBB GC2019 162-171CM 19</t>
  </si>
  <si>
    <t>SBB GC2019 153-161CM 18</t>
  </si>
  <si>
    <t>SBB GC2019 144-153CM 17</t>
  </si>
  <si>
    <t>SBB GC2019 135-144CM 16</t>
  </si>
  <si>
    <t>bellows were slightly unbalanced while running D2</t>
  </si>
  <si>
    <t>bellows were slightly unbalanced while running 13CD</t>
  </si>
  <si>
    <t>FTT_FT22-5_152C</t>
  </si>
  <si>
    <t>dartmouth_MCaps_T1_C2_3000</t>
  </si>
  <si>
    <t>385_U1545B-31F-2_78-78 VOIDGAS Guaymas Basin</t>
  </si>
  <si>
    <t>CSMR ST4 MMA incubation</t>
  </si>
  <si>
    <t>Guaymas Basin PC-15</t>
  </si>
  <si>
    <t>SBB GC2019 180-189CM 21</t>
  </si>
  <si>
    <t>SBB GC2019 189-198CM 22</t>
  </si>
  <si>
    <t>stonybrook_AG_16.11_syr2_#5</t>
  </si>
  <si>
    <t>stonybrook_AG_16.11_syr1_#3</t>
  </si>
  <si>
    <t>stonybrook_kaori_free_gass_corner_pool_#1</t>
  </si>
  <si>
    <t>TINY sample - less than 3mbar</t>
  </si>
  <si>
    <t>Tina_lin_UH-47_TN421_J2-1509_1362A_deep</t>
  </si>
  <si>
    <t>FTT 23-2 (+7000)</t>
  </si>
  <si>
    <t>FTT 23-3 (+4000)</t>
  </si>
  <si>
    <t>FTT 23-4 (+1000)</t>
  </si>
  <si>
    <t>dart_spike_1500_R1_125mM_MeOH</t>
  </si>
  <si>
    <t>balance change error midway through run - mass spec recovered</t>
  </si>
  <si>
    <t>dart_spike_6000_R1_125mM_MeOH</t>
  </si>
  <si>
    <t>FTT_23-7 (-400)</t>
  </si>
  <si>
    <t>dart_spike_-57_R4_125mM_MeOH</t>
  </si>
  <si>
    <t>AL5198_Santa Monica_Seepage Gas_NaOH</t>
  </si>
  <si>
    <t>SBB incubation w Mo 062-2</t>
  </si>
  <si>
    <t>Guaymas PC-12 AOM incubation</t>
  </si>
  <si>
    <t>SBB NDRO 2-3 MMA</t>
  </si>
  <si>
    <t>U1546-C24R2-450 a+b</t>
  </si>
  <si>
    <t>CSMR_ST3_acetate</t>
  </si>
  <si>
    <t>AL5197_Santa Monica_PC_blue yellow_Gas Hydrates</t>
  </si>
  <si>
    <t>Guaymas-U1546C-27R2-467</t>
  </si>
  <si>
    <t>Guaymas-U1546C-22R1-436</t>
  </si>
  <si>
    <t>AL5203_Seepage Gas</t>
  </si>
  <si>
    <t>umass_M.Bat_full_H2-A</t>
  </si>
  <si>
    <t>umass_M.Jan_full_H2-A</t>
  </si>
  <si>
    <t>AL5198_Santa Monica_PC9_Gas Hydrates</t>
  </si>
  <si>
    <t>AL5197_Santa Monica_PC_blue_yellow_10-20cm</t>
  </si>
  <si>
    <t>AL5198_Santa Monica_Rock R1_needle</t>
  </si>
  <si>
    <t>umass_M.thermo_full_H2-A</t>
  </si>
  <si>
    <t>0.975</t>
  </si>
  <si>
    <t>umass_M.Jan_30mL_A</t>
  </si>
  <si>
    <t>1.104</t>
  </si>
  <si>
    <t>AL5203_Redondo Knoll_ROCK_R2_2</t>
  </si>
  <si>
    <t>AL5199_Santa Monica_PC11_0-20CM</t>
  </si>
  <si>
    <t>AL5199_Santa Monica_PC12_9-18CM</t>
  </si>
  <si>
    <t>umass_M.thermo_full_H2-C</t>
  </si>
  <si>
    <t>AL5203_Redondo Knoll_ROCK_R1</t>
  </si>
  <si>
    <t>AL5196_Redondo Knoll_PC11_0-7CM</t>
  </si>
  <si>
    <t>AL5196_Redondo Knoll_PC11_7-14CM</t>
  </si>
  <si>
    <t>umass_M.thermo_full_H2-A-BIS</t>
  </si>
  <si>
    <t>umass_M.Jan_10mL_A</t>
  </si>
  <si>
    <t>umass_M.thermo_30ml_H2-A</t>
  </si>
  <si>
    <t>AL5196_Redondo Knoll_PC11_14-21CM</t>
  </si>
  <si>
    <t>AL5196_Redondo Knoll_PC2_0-7CM</t>
  </si>
  <si>
    <t>AL5196_Redondo Knoll_PC2_7-14CM</t>
  </si>
  <si>
    <t>M.Thermo_10mL_H2_A</t>
  </si>
  <si>
    <t>umass_M.Bat_30mL_H2-A</t>
  </si>
  <si>
    <t>Guaymas-U1545B-9H3-73mbsf</t>
  </si>
  <si>
    <t>tiny sample (25mbar)</t>
  </si>
  <si>
    <t>Guaymas-U1545B-11H7-98mbsf</t>
  </si>
  <si>
    <t>Guaymas-U1545B-13H5-114mbsf</t>
  </si>
  <si>
    <t>big sample, P too high,drop in signal during CH3D</t>
  </si>
  <si>
    <t>Guaymas-U1545B-38F1-237mbsf</t>
  </si>
  <si>
    <t>Guaymas-U1545B-28F1-190mbsf</t>
  </si>
  <si>
    <t>AL5203_Redondo Knoll_PC10_0-10CM</t>
  </si>
  <si>
    <t>AL5203_Redondo Knoll_ROCK_R1_JAR</t>
  </si>
  <si>
    <t>AL5199_Santa Monica_Alvin niskin water green</t>
  </si>
  <si>
    <t>AL5197_Santa Monica_PC_blue_yellow_0-10cm</t>
  </si>
  <si>
    <t>AL5203_Redondo Knoll_ROCK_R2-3_JAR</t>
  </si>
  <si>
    <t>Guaymas-U1545B-55F1-305mbsf</t>
  </si>
  <si>
    <t>Guaymas-U1545B-47F2-281mbsf</t>
  </si>
  <si>
    <t>Guaymas-U1545B-41R2-251mbsf</t>
  </si>
  <si>
    <t>Guaymas-U1545B-58F1-315mbsf</t>
  </si>
  <si>
    <t>tiny sample (35mbar)</t>
  </si>
  <si>
    <t>Guaymas-U1545B-60F3-327mbsf</t>
  </si>
  <si>
    <t>AL5196_Redondo Knoll_PC2_14-21CM</t>
  </si>
  <si>
    <t>SBB GC2019 126-135CM 15</t>
  </si>
  <si>
    <t>umass_M.thermo_full_H2-B</t>
  </si>
  <si>
    <t>SBB GC2019 117-126CM 14</t>
  </si>
  <si>
    <t>Guaymas Basin PC-14</t>
  </si>
  <si>
    <t>U1550-A2H5-3H3-12-17mbsf</t>
  </si>
  <si>
    <t>AL5197_Santa Monica_PC7_0-20cm</t>
  </si>
  <si>
    <t>U1550B-11H7-99mbsf</t>
  </si>
  <si>
    <t>U1550B-17F1-130mbsf</t>
  </si>
  <si>
    <t>SBB GC2019 108-117CM 13</t>
  </si>
  <si>
    <t>SBB GC2019 99-108CM 12</t>
  </si>
  <si>
    <t>SBB GC2019 90-99CM 11</t>
  </si>
  <si>
    <t>SBB NDRO 1-1 incubation</t>
  </si>
  <si>
    <t>SBB NA127 Core 011 incubation</t>
  </si>
  <si>
    <t>CSMR_ST3_control_incubation_Nov2020</t>
  </si>
  <si>
    <t>AL5198_Santa Monica_Seepage Gas_no_NaOH</t>
  </si>
  <si>
    <t>zero enrichment</t>
  </si>
  <si>
    <t>U1550B-20X-155mbsf</t>
  </si>
  <si>
    <t>Guaymas-U1546-32R4</t>
  </si>
  <si>
    <t>Guaymas-U1546-35R3-505mbsf</t>
  </si>
  <si>
    <t>Guaymas-U1552B-2H5-14mbsf</t>
  </si>
  <si>
    <t>Guaymas-U1552C-3H4-18mbsf</t>
  </si>
  <si>
    <t>Guaymas-U1545B-33F3-215mbsf</t>
  </si>
  <si>
    <t>Guaymas-U1552C-4H21-24mbsf</t>
  </si>
  <si>
    <t>U1550B-8/9H2-70mbsf</t>
  </si>
  <si>
    <t>tiny sample (19.5mbar)</t>
  </si>
  <si>
    <t>U1550B-10H1/2-83mbsf</t>
  </si>
  <si>
    <t>SBB GC2023 12-1</t>
  </si>
  <si>
    <t>Alaska thermokarst lake_2022-GSL-TK-VC-1-3.3</t>
  </si>
  <si>
    <t>Guaymas-U1547E-22R1-182mbsf</t>
  </si>
  <si>
    <t>Guaymas-U1552C-7H5-58mbsf</t>
  </si>
  <si>
    <t>Alaska thermokarst lake_2022-GSL-TK-VC-1-1.3</t>
  </si>
  <si>
    <t>Alaska thermokarst lake_A6_5-10 cm_2022-2024</t>
  </si>
  <si>
    <t>Guaymas-U1552C-8H3-65mbsf</t>
  </si>
  <si>
    <t>Guaymas-U1552C-9H5-76mbsf</t>
  </si>
  <si>
    <t>Alaska thermokarst lake_A1_plus_A2</t>
  </si>
  <si>
    <t>Alaska thermokarst lake_A4_2022-2024</t>
  </si>
  <si>
    <t>Guaymas-U1552C-10H4-85mbsf</t>
  </si>
  <si>
    <t>AL5198_Santa Monica_PC7_Void Gas</t>
  </si>
  <si>
    <t>Guaymas-U1552C-11H4-95mbsf</t>
  </si>
  <si>
    <t>Guaymas-U1547E-5R1-92mbsf</t>
  </si>
  <si>
    <t>AL5279_Sanak_Seepage Gas_no_NaOH</t>
  </si>
  <si>
    <t>AL5276_Shumagin_PC11_Void_Gas</t>
  </si>
  <si>
    <t>Guaymas-U1545B-41F2-252mbsf</t>
  </si>
  <si>
    <t>Guaymas-U1546C-32F3-489mbsf</t>
  </si>
  <si>
    <t>tiny sample (6.8mbar)</t>
  </si>
  <si>
    <t>AL5281_Sanak_Seepage Gas_no_NaOH</t>
  </si>
  <si>
    <t>AL5279_Sanak_PC11_0-12CM</t>
  </si>
  <si>
    <t>Radboud-CH4tank-B</t>
  </si>
  <si>
    <t>Radboud-NC10(R10)-CtrlC</t>
  </si>
  <si>
    <t>Radboud-NC10(R10)-T1B</t>
  </si>
  <si>
    <t>AL5274_Shumagin_PC8_Void_Gas</t>
  </si>
  <si>
    <t>AL5275_Shumagin_PC9</t>
  </si>
  <si>
    <t>AL5274_Shumagin_PC8_0-12CM</t>
  </si>
  <si>
    <t>AL5274_Shumagin_PC8_12-18CM</t>
  </si>
  <si>
    <t>AL5280_Sanak_Seepage Gas_no_NaOH</t>
  </si>
  <si>
    <t>AL5199_Santa Monica_PC12_0-9CM</t>
  </si>
  <si>
    <t>umass_M.Jan_full_H2-C</t>
  </si>
  <si>
    <t>umass_M.Bat_10mL_H2-B</t>
  </si>
  <si>
    <t>AL5275_Shumagin_PC2_9-18CM</t>
  </si>
  <si>
    <t>AL5275_Shumagin_PC2_0-9CM</t>
  </si>
  <si>
    <t>Radboud-NC10(R10)-T3C</t>
  </si>
  <si>
    <t>Radboud-NC10(R10)-T4A</t>
  </si>
  <si>
    <t>AL5275_Shumagin_PC5_10-17CM</t>
  </si>
  <si>
    <t>Radboud-NC10+ANME-T1B</t>
  </si>
  <si>
    <t>Radboud-NC10+ANME-T3C</t>
  </si>
  <si>
    <t>Radboud-NC10+ANME-T4A</t>
  </si>
  <si>
    <t>Radboud-NC10+ANME-T2C</t>
  </si>
  <si>
    <t>first zero with new ent slit</t>
  </si>
  <si>
    <t>small utica</t>
  </si>
  <si>
    <t>small utica low extraction</t>
  </si>
  <si>
    <t>8umol?</t>
  </si>
  <si>
    <t>15-20umol?</t>
  </si>
  <si>
    <t>8umol_utica_low_ext</t>
  </si>
  <si>
    <t>8umol</t>
  </si>
  <si>
    <t>12umol_utica_low_ext</t>
  </si>
  <si>
    <t>21umol_utica_low_ext</t>
  </si>
  <si>
    <t>unstaable signal-ESA plate?-bad balance on major beam</t>
  </si>
  <si>
    <t>zero_lowP</t>
  </si>
  <si>
    <t>P=3.6e-8mbar-extraction=970-920-signal=1.5/1.7e-10</t>
  </si>
  <si>
    <t>zero_lowP2</t>
  </si>
  <si>
    <t>balance factor=0.0011-fresh ref gas on sample side</t>
  </si>
  <si>
    <t>utica_20umol</t>
  </si>
  <si>
    <t>fractionated on the vacuum line?</t>
  </si>
  <si>
    <t>BL-11-Aoshuang</t>
  </si>
  <si>
    <t>BL-06-Aoshuang</t>
  </si>
  <si>
    <t>BL-05-Aoshuang</t>
  </si>
  <si>
    <t>weird CH3D-fractionated in cold finger?</t>
  </si>
  <si>
    <t>BL-055-Aoshuang</t>
  </si>
  <si>
    <t>BL-13-Aoshuang</t>
  </si>
  <si>
    <t>BL-05-BIS-Aoshuang</t>
  </si>
  <si>
    <t>Abiotic-CH4-Red_Dutoit</t>
  </si>
  <si>
    <t>Abiotic-CH4-Blue_Dutoit</t>
  </si>
  <si>
    <t>poorly balanced-super small (6umol)</t>
  </si>
  <si>
    <t>Svalbard_bottle_1_no_sulfate</t>
  </si>
  <si>
    <t>Svalbard_bottle_2_no_sulfate</t>
  </si>
  <si>
    <t>Treude_lab_new_tank_gas</t>
  </si>
  <si>
    <t>M.aceto-D-ac-25-8</t>
  </si>
  <si>
    <t>M.aceto-D-ac-25-15</t>
  </si>
  <si>
    <t>M.aceto-D-ac-35-11</t>
  </si>
  <si>
    <t>M.aceto-D-ac-35-15</t>
  </si>
  <si>
    <t>M.aceto-D-ac-35-13</t>
  </si>
  <si>
    <t>M.aceto-D-ac-25-10</t>
  </si>
  <si>
    <t>zero_He</t>
  </si>
  <si>
    <t>utica_He_15umol</t>
  </si>
  <si>
    <t>M_aceto_D_Ac_MMA_25_13</t>
  </si>
  <si>
    <t>M_aceto_MMA_35_9</t>
  </si>
  <si>
    <t>Small bellow size at the last block of 13CD measurement, data looks ok</t>
  </si>
  <si>
    <t>Mf_37C_H2CO2_T3_C2</t>
  </si>
  <si>
    <t>M_aceto_MMA_25_12</t>
  </si>
  <si>
    <t>Beam intensity dropping very quick, bellow size went to 0 after 20 blocks for D2. Unpure gas?</t>
  </si>
  <si>
    <t>Coc_37C_T3_C2</t>
  </si>
  <si>
    <t>Small size samples (18 umol). Beam intensity at 1.7 to 1.8e-10.</t>
  </si>
  <si>
    <t>M_aceto_ac_25_9</t>
  </si>
  <si>
    <t>Coc_37C_20cc_T1_C1_rerun</t>
  </si>
  <si>
    <t>Beam intensity dropped to 1e-12 after 7 blocks of D2? Slowly recovering overnight. This is the rerun after the beam recovers.</t>
  </si>
  <si>
    <t>Coc_30C_C3</t>
  </si>
  <si>
    <t>small sample (20 umol)</t>
  </si>
  <si>
    <t>mf_30C_C1</t>
  </si>
  <si>
    <t>utica_65umol</t>
  </si>
  <si>
    <t>M.aceto_acetate_25-3_spike_antarctica</t>
  </si>
  <si>
    <t>M.aceto_acetate_25-2_spike2000</t>
  </si>
  <si>
    <t>M.aceto_acetate_25-4_spike4000</t>
  </si>
  <si>
    <t>M.aceto_acetate_25-4_spike8000</t>
  </si>
  <si>
    <t>Radboud-NC10+ANME-CTRLB</t>
  </si>
  <si>
    <t>Radboud-NC10(R10)-T2B</t>
  </si>
  <si>
    <t>Radboud-NC10+ANME-T4B</t>
  </si>
  <si>
    <t>M.aceto_MMA_25-4_spike_antarctica</t>
  </si>
  <si>
    <t>M.aceto_MMA_25-3_spike8000</t>
  </si>
  <si>
    <t>gc peak taken too late?</t>
  </si>
  <si>
    <t>M.aceto_MMA_25-3_spike2000</t>
  </si>
  <si>
    <t>gc taken too late?</t>
  </si>
  <si>
    <t>M.aceto_MMA_25-4_spike8000</t>
  </si>
  <si>
    <t>M_aceto_D-MeOH-25-9</t>
  </si>
  <si>
    <t>M_aceto_D-MMA-35-13</t>
  </si>
  <si>
    <t>M_aceto_D-MeOH-25-8</t>
  </si>
  <si>
    <t>M_aceto_D-MeOH-35-9</t>
  </si>
  <si>
    <t>Lake Untersee_94m</t>
  </si>
  <si>
    <t>Lake Untersee_90m</t>
  </si>
  <si>
    <t>Lake Untersee_98m</t>
  </si>
  <si>
    <t>Lake Untersee_85m</t>
  </si>
  <si>
    <t>Guaymas_H1655-IGT4-VT4</t>
  </si>
  <si>
    <t>Guaymas_4462-IGT1-VT5</t>
  </si>
  <si>
    <t>Guaymas_4461-IGT5-VT5</t>
  </si>
  <si>
    <t>North Sea_ID1654_Al412_146ROV8_freegas 6</t>
  </si>
  <si>
    <t>Gulf of California_ID4139_SO241_7GC1_GH_265cm_I</t>
  </si>
  <si>
    <t>North Sea_ID5454_POS518_21ROV3_GT1_44m</t>
  </si>
  <si>
    <t>North Sea_ID9872_Al575_03ROV01_Gas sampler_gelb</t>
  </si>
  <si>
    <t>North Sea_ID2158_CE12010_20ROV6_freegas 2</t>
  </si>
  <si>
    <t>BL-0525-12.6m-Aoshuang</t>
  </si>
  <si>
    <t>BL-0525-4.6m-Aoshuang</t>
  </si>
  <si>
    <t>BL-CH4-bubble_aoshuang</t>
  </si>
  <si>
    <t>BL-0525-4.8m-Aoshuang</t>
  </si>
  <si>
    <t>BL-0525-4.4m-Aoshuang</t>
  </si>
  <si>
    <t>M-aceti-MMA-antarctica spike-35-3</t>
  </si>
  <si>
    <t>ac stopped middle run</t>
  </si>
  <si>
    <t>Oct-24-2025</t>
  </si>
  <si>
    <t>R17_ctrl1</t>
  </si>
  <si>
    <t>Oct-25-2025</t>
  </si>
  <si>
    <t>R17_T1_C2</t>
  </si>
  <si>
    <t>DAC error poped up when running 13CD, the data looks ok</t>
  </si>
  <si>
    <t>Oct-26-2025</t>
  </si>
  <si>
    <t>R17_T2_C1</t>
  </si>
  <si>
    <t>Air compressor down in the middle of the run. Beam signal lost. Run aborted at 23 blocks for D2</t>
  </si>
  <si>
    <t>NM</t>
  </si>
  <si>
    <t>Oct-27-2025</t>
  </si>
  <si>
    <t>R66_Oct_T2_C2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</si>
</sst>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409]d\-mmm\-yy;@"/>
    <numFmt numFmtId="166" formatCode="0.0"/>
  </numFmts>
  <fonts count="18" x14ac:knownFonts="1">
    <font>
      <sz val="11"/>
      <color theme="1"/>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b/>
      <vertAlign val="subscript"/>
      <sz val="10"/>
      <color theme="1"/>
      <name val="Calibri"/>
      <family val="2"/>
      <scheme val="minor"/>
    </font>
    <font>
      <sz val="10"/>
      <name val="Calibri"/>
      <family val="2"/>
      <scheme val="minor"/>
    </font>
    <font>
      <sz val="10"/>
      <color theme="0" tint="-0.34998626667073579"/>
      <name val="Calibri"/>
      <family val="2"/>
      <scheme val="minor"/>
    </font>
    <font>
      <sz val="10"/>
      <color rgb="FFFF0000"/>
      <name val="Calibri"/>
      <family val="2"/>
      <scheme val="minor"/>
    </font>
    <font>
      <sz val="10"/>
      <color theme="0" tint="-0.499984740745262"/>
      <name val="Calibri"/>
      <family val="2"/>
      <scheme val="minor"/>
    </font>
    <font>
      <sz val="11"/>
      <name val="Calibri"/>
      <family val="2"/>
      <scheme val="minor"/>
    </font>
    <font>
      <sz val="10"/>
      <color theme="5"/>
      <name val="Calibri"/>
      <family val="2"/>
      <scheme val="minor"/>
    </font>
    <font>
      <sz val="10"/>
      <color theme="5" tint="-0.249977111117893"/>
      <name val="Calibri"/>
      <family val="2"/>
      <scheme val="minor"/>
    </font>
    <font>
      <i/>
      <sz val="10"/>
      <color theme="1"/>
      <name val="Calibri"/>
      <family val="2"/>
      <scheme val="minor"/>
    </font>
    <font>
      <sz val="10"/>
      <color rgb="FFFF9900"/>
      <name val="Calibri"/>
      <family val="2"/>
      <scheme val="minor"/>
    </font>
    <font>
      <sz val="10"/>
      <color rgb="FFFFC000"/>
      <name val="Calibri"/>
      <family val="2"/>
      <scheme val="minor"/>
    </font>
    <font>
      <b/>
      <sz val="10"/>
      <name val="Calibri"/>
      <family val="2"/>
      <scheme val="minor"/>
    </font>
    <font>
      <b/>
      <vertAlign val="superscript"/>
      <sz val="10"/>
      <name val="Calibri"/>
      <family val="2"/>
      <scheme val="minor"/>
    </font>
    <font>
      <b/>
      <vertAlign val="subscript"/>
      <sz val="1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4" tint="0.59999389629810485"/>
        <bgColor indexed="64"/>
      </patternFill>
    </fill>
  </fills>
  <borders count="2">
    <border>
      <left/>
      <right/>
      <top/>
      <bottom/>
      <diagonal/>
    </border>
    <border>
      <left/>
      <right/>
      <top/>
      <bottom style="thin">
        <color auto="1"/>
      </bottom>
      <diagonal/>
    </border>
  </borders>
  <cellStyleXfs count="1">
    <xf numFmtId="165" fontId="0" fillId="0" borderId="0"/>
  </cellStyleXfs>
  <cellXfs count="201">
    <xf numFmtId="165" fontId="0" fillId="0" borderId="0" xfId="0"/>
    <xf numFmtId="165" fontId="1" fillId="0" borderId="0" xfId="0" applyFont="1" applyAlignment="1">
      <alignment horizontal="center" vertical="center" wrapText="1"/>
    </xf>
    <xf numFmtId="165" fontId="1" fillId="0" borderId="0" xfId="0" applyFont="1" applyAlignment="1">
      <alignment horizontal="center" vertical="center"/>
    </xf>
    <xf numFmtId="165" fontId="2" fillId="0" borderId="0" xfId="0" applyFont="1"/>
    <xf numFmtId="165" fontId="2" fillId="0" borderId="0" xfId="0" applyFont="1" applyAlignment="1">
      <alignment horizontal="center"/>
    </xf>
    <xf numFmtId="15" fontId="2" fillId="0" borderId="0" xfId="0" applyNumberFormat="1" applyFont="1" applyAlignment="1">
      <alignment horizontal="center" vertical="center"/>
    </xf>
    <xf numFmtId="165" fontId="2" fillId="0" borderId="0" xfId="0" applyFont="1" applyAlignment="1">
      <alignment horizontal="center" vertical="center"/>
    </xf>
    <xf numFmtId="165" fontId="2" fillId="0" borderId="0" xfId="0" applyFont="1" applyAlignment="1">
      <alignment horizontal="left" vertical="center"/>
    </xf>
    <xf numFmtId="164" fontId="2" fillId="0" borderId="0" xfId="0" applyNumberFormat="1" applyFont="1" applyAlignment="1">
      <alignment horizontal="center" vertical="center"/>
    </xf>
    <xf numFmtId="164" fontId="2" fillId="0" borderId="0" xfId="0" applyNumberFormat="1" applyFont="1"/>
    <xf numFmtId="15" fontId="5" fillId="0" borderId="0" xfId="0" applyNumberFormat="1" applyFont="1" applyAlignment="1">
      <alignment horizontal="center" vertical="center"/>
    </xf>
    <xf numFmtId="164" fontId="5" fillId="0" borderId="0" xfId="0" applyNumberFormat="1" applyFont="1" applyAlignment="1">
      <alignment horizontal="center" vertical="center"/>
    </xf>
    <xf numFmtId="165" fontId="5" fillId="0" borderId="0" xfId="0" applyFont="1"/>
    <xf numFmtId="164" fontId="5" fillId="0" borderId="0" xfId="0" applyNumberFormat="1" applyFont="1" applyFill="1" applyAlignment="1">
      <alignment horizontal="center" vertical="center"/>
    </xf>
    <xf numFmtId="15" fontId="6" fillId="0" borderId="0" xfId="0" applyNumberFormat="1" applyFont="1" applyAlignment="1">
      <alignment horizontal="center" vertical="center"/>
    </xf>
    <xf numFmtId="164" fontId="6" fillId="0" borderId="0" xfId="0" applyNumberFormat="1" applyFont="1" applyAlignment="1">
      <alignment horizontal="center" vertical="center"/>
    </xf>
    <xf numFmtId="164" fontId="6" fillId="0" borderId="0" xfId="0" applyNumberFormat="1" applyFont="1" applyFill="1" applyAlignment="1">
      <alignment horizontal="center" vertical="center"/>
    </xf>
    <xf numFmtId="165" fontId="6" fillId="0" borderId="0" xfId="0" applyFont="1"/>
    <xf numFmtId="165" fontId="8" fillId="0" borderId="0" xfId="0" applyFont="1" applyAlignment="1">
      <alignment horizontal="center" vertical="center"/>
    </xf>
    <xf numFmtId="165" fontId="8" fillId="0" borderId="0" xfId="0" applyFont="1" applyAlignment="1">
      <alignment horizontal="center"/>
    </xf>
    <xf numFmtId="15" fontId="8" fillId="0" borderId="0" xfId="0" applyNumberFormat="1" applyFont="1" applyAlignment="1">
      <alignment horizontal="center" vertical="center"/>
    </xf>
    <xf numFmtId="165" fontId="8" fillId="0" borderId="0" xfId="0" applyFont="1" applyAlignment="1">
      <alignment horizontal="left" vertical="center"/>
    </xf>
    <xf numFmtId="164" fontId="8" fillId="0" borderId="0" xfId="0" applyNumberFormat="1" applyFont="1" applyAlignment="1">
      <alignment horizontal="center" vertical="center"/>
    </xf>
    <xf numFmtId="165" fontId="8" fillId="0" borderId="0" xfId="0" applyFont="1"/>
    <xf numFmtId="164" fontId="8" fillId="0" borderId="0" xfId="0" applyNumberFormat="1" applyFont="1"/>
    <xf numFmtId="165" fontId="2" fillId="0" borderId="0" xfId="0" applyNumberFormat="1" applyFont="1" applyAlignment="1">
      <alignment horizontal="center" vertical="center"/>
    </xf>
    <xf numFmtId="165" fontId="2" fillId="3" borderId="0" xfId="0" applyNumberFormat="1" applyFont="1" applyFill="1" applyAlignment="1">
      <alignment horizontal="center" vertical="center"/>
    </xf>
    <xf numFmtId="164" fontId="2" fillId="3" borderId="0" xfId="0" applyNumberFormat="1" applyFont="1" applyFill="1" applyAlignment="1">
      <alignment horizontal="center" vertical="center"/>
    </xf>
    <xf numFmtId="15" fontId="2" fillId="4" borderId="0" xfId="0" applyNumberFormat="1" applyFont="1" applyFill="1" applyAlignment="1">
      <alignment horizontal="center" vertical="center"/>
    </xf>
    <xf numFmtId="164" fontId="2" fillId="4" borderId="0" xfId="0" applyNumberFormat="1" applyFont="1" applyFill="1" applyAlignment="1">
      <alignment horizontal="center" vertical="center"/>
    </xf>
    <xf numFmtId="165" fontId="2" fillId="4" borderId="0" xfId="0" applyFont="1" applyFill="1"/>
    <xf numFmtId="15" fontId="2" fillId="3" borderId="0" xfId="0" applyNumberFormat="1" applyFont="1" applyFill="1" applyAlignment="1">
      <alignment horizontal="center" vertical="center"/>
    </xf>
    <xf numFmtId="165" fontId="2" fillId="0" borderId="0" xfId="0" applyNumberFormat="1" applyFont="1" applyFill="1" applyBorder="1" applyAlignment="1">
      <alignment horizontal="center"/>
    </xf>
    <xf numFmtId="164" fontId="2" fillId="0" borderId="0" xfId="0" applyNumberFormat="1" applyFont="1" applyFill="1" applyBorder="1" applyAlignment="1">
      <alignment horizontal="center"/>
    </xf>
    <xf numFmtId="165" fontId="2" fillId="0" borderId="0" xfId="0" applyFont="1" applyFill="1"/>
    <xf numFmtId="165" fontId="2" fillId="2" borderId="0" xfId="0" applyFont="1" applyFill="1" applyAlignment="1">
      <alignment horizontal="center"/>
    </xf>
    <xf numFmtId="164" fontId="0" fillId="0" borderId="0" xfId="0" applyNumberFormat="1" applyFont="1" applyAlignment="1">
      <alignment horizontal="center" vertical="center"/>
    </xf>
    <xf numFmtId="15" fontId="2" fillId="5" borderId="0" xfId="0" applyNumberFormat="1" applyFont="1" applyFill="1" applyAlignment="1">
      <alignment horizontal="center" vertical="center"/>
    </xf>
    <xf numFmtId="164" fontId="2" fillId="5" borderId="0" xfId="0" applyNumberFormat="1" applyFont="1" applyFill="1" applyAlignment="1">
      <alignment horizontal="center" vertical="center"/>
    </xf>
    <xf numFmtId="165" fontId="2" fillId="5" borderId="0" xfId="0" applyFont="1" applyFill="1"/>
    <xf numFmtId="164" fontId="0" fillId="5" borderId="0" xfId="0" applyNumberFormat="1" applyFont="1" applyFill="1" applyAlignment="1">
      <alignment horizontal="center" vertical="center"/>
    </xf>
    <xf numFmtId="164" fontId="7" fillId="5" borderId="0" xfId="0" applyNumberFormat="1" applyFont="1" applyFill="1" applyAlignment="1">
      <alignment horizontal="center" vertical="center"/>
    </xf>
    <xf numFmtId="15" fontId="2" fillId="0" borderId="0" xfId="0" applyNumberFormat="1" applyFont="1" applyFill="1" applyAlignment="1">
      <alignment horizontal="center" vertical="center"/>
    </xf>
    <xf numFmtId="164" fontId="2" fillId="0" borderId="0" xfId="0" applyNumberFormat="1" applyFont="1" applyFill="1" applyAlignment="1">
      <alignment horizontal="center" vertical="center"/>
    </xf>
    <xf numFmtId="15" fontId="2" fillId="6" borderId="0" xfId="0" applyNumberFormat="1" applyFont="1" applyFill="1" applyAlignment="1">
      <alignment horizontal="center" vertical="center"/>
    </xf>
    <xf numFmtId="164" fontId="2" fillId="6" borderId="0" xfId="0" applyNumberFormat="1" applyFont="1" applyFill="1" applyAlignment="1">
      <alignment horizontal="center" vertical="center"/>
    </xf>
    <xf numFmtId="164" fontId="0" fillId="6" borderId="0" xfId="0" applyNumberFormat="1" applyFont="1" applyFill="1" applyAlignment="1">
      <alignment horizontal="center" vertical="center"/>
    </xf>
    <xf numFmtId="15" fontId="2" fillId="2" borderId="0" xfId="0" applyNumberFormat="1" applyFont="1" applyFill="1" applyAlignment="1">
      <alignment horizontal="center" vertical="center"/>
    </xf>
    <xf numFmtId="164" fontId="0" fillId="2" borderId="1" xfId="0" applyNumberFormat="1" applyFill="1" applyBorder="1" applyAlignment="1">
      <alignment horizontal="center"/>
    </xf>
    <xf numFmtId="165" fontId="2" fillId="2" borderId="0" xfId="0" applyFont="1" applyFill="1"/>
    <xf numFmtId="164" fontId="2" fillId="2" borderId="0" xfId="0" applyNumberFormat="1" applyFont="1" applyFill="1" applyAlignment="1">
      <alignment horizontal="center" vertical="center"/>
    </xf>
    <xf numFmtId="164" fontId="5" fillId="5" borderId="0" xfId="0" applyNumberFormat="1" applyFont="1" applyFill="1" applyAlignment="1">
      <alignment horizontal="center" vertical="center"/>
    </xf>
    <xf numFmtId="165" fontId="2" fillId="3" borderId="0" xfId="0" applyFont="1" applyFill="1"/>
    <xf numFmtId="15" fontId="7" fillId="5" borderId="0" xfId="0" applyNumberFormat="1" applyFont="1" applyFill="1" applyAlignment="1">
      <alignment horizontal="center" vertical="center"/>
    </xf>
    <xf numFmtId="165" fontId="7" fillId="5" borderId="0" xfId="0" applyFont="1" applyFill="1"/>
    <xf numFmtId="1" fontId="1" fillId="0" borderId="0" xfId="0" applyNumberFormat="1" applyFont="1" applyAlignment="1">
      <alignment horizontal="center" vertical="center" wrapText="1"/>
    </xf>
    <xf numFmtId="1" fontId="2" fillId="0" borderId="0" xfId="0" applyNumberFormat="1" applyFont="1" applyAlignment="1">
      <alignment horizontal="center"/>
    </xf>
    <xf numFmtId="1" fontId="2" fillId="4" borderId="0" xfId="0" applyNumberFormat="1" applyFont="1" applyFill="1" applyAlignment="1">
      <alignment horizontal="center"/>
    </xf>
    <xf numFmtId="1" fontId="6" fillId="0" borderId="0" xfId="0" applyNumberFormat="1" applyFont="1" applyAlignment="1">
      <alignment horizontal="center"/>
    </xf>
    <xf numFmtId="1" fontId="5" fillId="0" borderId="0" xfId="0" applyNumberFormat="1" applyFont="1" applyAlignment="1">
      <alignment horizontal="center"/>
    </xf>
    <xf numFmtId="1" fontId="8" fillId="0" borderId="0" xfId="0" applyNumberFormat="1" applyFont="1" applyAlignment="1">
      <alignment horizontal="center"/>
    </xf>
    <xf numFmtId="1" fontId="2" fillId="0" borderId="0" xfId="0" applyNumberFormat="1" applyFont="1" applyAlignment="1">
      <alignment horizontal="center" vertical="center"/>
    </xf>
    <xf numFmtId="1" fontId="2" fillId="3" borderId="0" xfId="0" applyNumberFormat="1" applyFont="1" applyFill="1" applyAlignment="1">
      <alignment horizontal="center"/>
    </xf>
    <xf numFmtId="1" fontId="2" fillId="0" borderId="0" xfId="0" applyNumberFormat="1" applyFont="1" applyFill="1" applyAlignment="1">
      <alignment horizontal="center"/>
    </xf>
    <xf numFmtId="1" fontId="2" fillId="0" borderId="0" xfId="0" applyNumberFormat="1" applyFont="1" applyFill="1" applyBorder="1" applyAlignment="1">
      <alignment horizontal="center"/>
    </xf>
    <xf numFmtId="1" fontId="2" fillId="6" borderId="0" xfId="0" applyNumberFormat="1" applyFont="1" applyFill="1" applyAlignment="1">
      <alignment horizontal="center"/>
    </xf>
    <xf numFmtId="1" fontId="2" fillId="5" borderId="0" xfId="0" applyNumberFormat="1" applyFont="1" applyFill="1" applyAlignment="1">
      <alignment horizontal="center"/>
    </xf>
    <xf numFmtId="1" fontId="2" fillId="2" borderId="0" xfId="0" applyNumberFormat="1" applyFont="1" applyFill="1" applyAlignment="1">
      <alignment horizontal="center"/>
    </xf>
    <xf numFmtId="1" fontId="7" fillId="5" borderId="0" xfId="0" applyNumberFormat="1" applyFont="1" applyFill="1" applyAlignment="1">
      <alignment horizontal="center"/>
    </xf>
    <xf numFmtId="1" fontId="2" fillId="4" borderId="0" xfId="0" applyNumberFormat="1" applyFont="1" applyFill="1" applyAlignment="1">
      <alignment horizontal="center" vertical="center"/>
    </xf>
    <xf numFmtId="1" fontId="2" fillId="2" borderId="0" xfId="0" applyNumberFormat="1" applyFont="1" applyFill="1" applyAlignment="1">
      <alignment horizontal="center" vertical="center"/>
    </xf>
    <xf numFmtId="1" fontId="6" fillId="0" borderId="0" xfId="0" applyNumberFormat="1" applyFont="1" applyAlignment="1">
      <alignment horizontal="center" vertical="center"/>
    </xf>
    <xf numFmtId="1" fontId="5" fillId="0" borderId="0" xfId="0" applyNumberFormat="1" applyFont="1" applyAlignment="1">
      <alignment horizontal="center" vertical="center"/>
    </xf>
    <xf numFmtId="1" fontId="8" fillId="0" borderId="0" xfId="0" applyNumberFormat="1" applyFont="1" applyAlignment="1">
      <alignment horizontal="center" vertical="center"/>
    </xf>
    <xf numFmtId="1" fontId="2" fillId="3" borderId="0" xfId="0" applyNumberFormat="1" applyFont="1" applyFill="1" applyAlignment="1">
      <alignment horizontal="center" vertical="center"/>
    </xf>
    <xf numFmtId="1" fontId="2" fillId="0" borderId="0" xfId="0" applyNumberFormat="1" applyFont="1" applyFill="1" applyAlignment="1">
      <alignment horizontal="center" vertical="center"/>
    </xf>
    <xf numFmtId="1" fontId="5" fillId="0" borderId="0" xfId="0" applyNumberFormat="1" applyFont="1" applyFill="1" applyBorder="1" applyAlignment="1">
      <alignment horizontal="center"/>
    </xf>
    <xf numFmtId="1" fontId="2" fillId="6" borderId="0" xfId="0" applyNumberFormat="1" applyFont="1" applyFill="1" applyAlignment="1">
      <alignment horizontal="center" vertical="center"/>
    </xf>
    <xf numFmtId="1" fontId="2" fillId="5" borderId="0" xfId="0" applyNumberFormat="1" applyFont="1" applyFill="1" applyAlignment="1">
      <alignment horizontal="center" vertical="center"/>
    </xf>
    <xf numFmtId="1" fontId="7" fillId="5" borderId="0" xfId="0" applyNumberFormat="1" applyFont="1" applyFill="1" applyAlignment="1">
      <alignment horizontal="center" vertical="center"/>
    </xf>
    <xf numFmtId="164" fontId="2" fillId="0" borderId="0" xfId="0" applyNumberFormat="1" applyFont="1" applyAlignment="1">
      <alignment horizontal="center"/>
    </xf>
    <xf numFmtId="164" fontId="1" fillId="0" borderId="0" xfId="0" applyNumberFormat="1" applyFont="1" applyAlignment="1">
      <alignment horizontal="center" vertical="center"/>
    </xf>
    <xf numFmtId="164" fontId="2" fillId="2" borderId="0" xfId="0" applyNumberFormat="1" applyFont="1" applyFill="1" applyAlignment="1">
      <alignment horizontal="center"/>
    </xf>
    <xf numFmtId="0" fontId="2" fillId="0" borderId="0" xfId="0" applyNumberFormat="1" applyFont="1" applyAlignment="1">
      <alignment horizontal="center"/>
    </xf>
    <xf numFmtId="0" fontId="1" fillId="0" borderId="0" xfId="0" applyNumberFormat="1" applyFont="1" applyAlignment="1">
      <alignment horizontal="center" vertical="center"/>
    </xf>
    <xf numFmtId="0" fontId="2" fillId="0" borderId="0" xfId="0" applyNumberFormat="1" applyFont="1" applyFill="1" applyBorder="1" applyAlignment="1">
      <alignment horizontal="center"/>
    </xf>
    <xf numFmtId="1" fontId="2" fillId="0" borderId="0" xfId="0" applyNumberFormat="1" applyFont="1" applyAlignment="1">
      <alignment horizontal="left"/>
    </xf>
    <xf numFmtId="0" fontId="5" fillId="0" borderId="0" xfId="0" applyNumberFormat="1" applyFont="1" applyFill="1" applyBorder="1" applyAlignment="1">
      <alignment horizontal="center"/>
    </xf>
    <xf numFmtId="164" fontId="5" fillId="0" borderId="0" xfId="0" applyNumberFormat="1" applyFont="1" applyFill="1" applyBorder="1" applyAlignment="1">
      <alignment horizontal="center"/>
    </xf>
    <xf numFmtId="165" fontId="2" fillId="0" borderId="0" xfId="0" applyFont="1" applyBorder="1"/>
    <xf numFmtId="165" fontId="5" fillId="0" borderId="0" xfId="0" applyNumberFormat="1" applyFont="1" applyFill="1" applyBorder="1" applyAlignment="1">
      <alignment horizontal="center"/>
    </xf>
    <xf numFmtId="0" fontId="5" fillId="7" borderId="0" xfId="0" applyNumberFormat="1" applyFont="1" applyFill="1" applyBorder="1" applyAlignment="1">
      <alignment horizontal="center"/>
    </xf>
    <xf numFmtId="165" fontId="5" fillId="7" borderId="0" xfId="0" applyNumberFormat="1" applyFont="1" applyFill="1" applyBorder="1" applyAlignment="1">
      <alignment horizontal="center"/>
    </xf>
    <xf numFmtId="164" fontId="5" fillId="7" borderId="0" xfId="0" applyNumberFormat="1" applyFont="1" applyFill="1" applyBorder="1" applyAlignment="1">
      <alignment horizontal="center"/>
    </xf>
    <xf numFmtId="1" fontId="2" fillId="7" borderId="0" xfId="0" applyNumberFormat="1" applyFont="1" applyFill="1" applyAlignment="1">
      <alignment horizontal="center"/>
    </xf>
    <xf numFmtId="165" fontId="2" fillId="7" borderId="0" xfId="0" applyFont="1" applyFill="1" applyAlignment="1">
      <alignment horizontal="center"/>
    </xf>
    <xf numFmtId="165" fontId="2" fillId="7" borderId="0" xfId="0" applyFont="1" applyFill="1"/>
    <xf numFmtId="164" fontId="2" fillId="7" borderId="0" xfId="0" applyNumberFormat="1" applyFont="1" applyFill="1" applyAlignment="1">
      <alignment horizontal="center"/>
    </xf>
    <xf numFmtId="165" fontId="2" fillId="0" borderId="0" xfId="0" applyNumberFormat="1" applyFont="1" applyAlignment="1">
      <alignment horizontal="center"/>
    </xf>
    <xf numFmtId="2" fontId="2" fillId="0" borderId="0" xfId="0" applyNumberFormat="1" applyFont="1" applyAlignment="1">
      <alignment horizontal="center"/>
    </xf>
    <xf numFmtId="2" fontId="2" fillId="0" borderId="0" xfId="0" applyNumberFormat="1" applyFont="1"/>
    <xf numFmtId="0" fontId="0" fillId="8" borderId="0" xfId="0" applyNumberFormat="1" applyFill="1"/>
    <xf numFmtId="1" fontId="7" fillId="0" borderId="0" xfId="0" applyNumberFormat="1" applyFont="1" applyAlignment="1">
      <alignment horizontal="center" vertical="center"/>
    </xf>
    <xf numFmtId="164" fontId="7" fillId="0" borderId="0" xfId="0" applyNumberFormat="1" applyFont="1" applyAlignment="1">
      <alignment horizontal="center"/>
    </xf>
    <xf numFmtId="164" fontId="13" fillId="0" borderId="0" xfId="0" applyNumberFormat="1" applyFont="1" applyAlignment="1">
      <alignment horizontal="center"/>
    </xf>
    <xf numFmtId="165" fontId="7" fillId="0" borderId="0" xfId="0" applyFont="1"/>
    <xf numFmtId="164" fontId="14" fillId="0" borderId="0" xfId="0" applyNumberFormat="1" applyFont="1" applyAlignment="1">
      <alignment horizontal="center"/>
    </xf>
    <xf numFmtId="1" fontId="1" fillId="2" borderId="0" xfId="0" applyNumberFormat="1" applyFont="1" applyFill="1" applyAlignment="1">
      <alignment horizontal="center"/>
    </xf>
    <xf numFmtId="1" fontId="7" fillId="0" borderId="0" xfId="0" applyNumberFormat="1" applyFont="1" applyAlignment="1">
      <alignment horizontal="center"/>
    </xf>
    <xf numFmtId="165" fontId="7" fillId="0" borderId="0" xfId="0" applyFont="1" applyAlignment="1">
      <alignment horizontal="center"/>
    </xf>
    <xf numFmtId="165" fontId="5" fillId="0" borderId="0" xfId="0" applyFont="1" applyAlignment="1">
      <alignment horizontal="center"/>
    </xf>
    <xf numFmtId="164" fontId="5" fillId="0" borderId="0" xfId="0" applyNumberFormat="1" applyFont="1" applyAlignment="1">
      <alignment horizontal="center"/>
    </xf>
    <xf numFmtId="1" fontId="2" fillId="9" borderId="0" xfId="0" applyNumberFormat="1" applyFont="1" applyFill="1" applyAlignment="1">
      <alignment horizontal="center"/>
    </xf>
    <xf numFmtId="1" fontId="2" fillId="9" borderId="0" xfId="0" applyNumberFormat="1" applyFont="1" applyFill="1" applyAlignment="1">
      <alignment horizontal="center" vertical="center"/>
    </xf>
    <xf numFmtId="15" fontId="2" fillId="9" borderId="0" xfId="0" applyNumberFormat="1" applyFont="1" applyFill="1" applyAlignment="1">
      <alignment horizontal="center" vertical="center"/>
    </xf>
    <xf numFmtId="164" fontId="2" fillId="9" borderId="0" xfId="0" applyNumberFormat="1" applyFont="1" applyFill="1" applyAlignment="1">
      <alignment horizontal="center" vertical="center"/>
    </xf>
    <xf numFmtId="165" fontId="2" fillId="9" borderId="0" xfId="0" applyFont="1" applyFill="1"/>
    <xf numFmtId="1" fontId="7" fillId="7" borderId="0" xfId="0" applyNumberFormat="1" applyFont="1" applyFill="1" applyAlignment="1">
      <alignment horizontal="center"/>
    </xf>
    <xf numFmtId="165" fontId="7" fillId="7" borderId="0" xfId="0" applyFont="1" applyFill="1" applyAlignment="1">
      <alignment horizontal="center"/>
    </xf>
    <xf numFmtId="165" fontId="7" fillId="7" borderId="0" xfId="0" applyFont="1" applyFill="1"/>
    <xf numFmtId="164" fontId="7" fillId="7" borderId="0" xfId="0" applyNumberFormat="1" applyFont="1" applyFill="1" applyAlignment="1">
      <alignment horizontal="center"/>
    </xf>
    <xf numFmtId="2" fontId="2" fillId="4" borderId="0" xfId="0" applyNumberFormat="1" applyFont="1" applyFill="1"/>
    <xf numFmtId="2" fontId="2" fillId="9" borderId="0" xfId="0" applyNumberFormat="1" applyFont="1" applyFill="1"/>
    <xf numFmtId="2" fontId="6" fillId="0" borderId="0" xfId="0" applyNumberFormat="1" applyFont="1"/>
    <xf numFmtId="2" fontId="5" fillId="0" borderId="0" xfId="0" applyNumberFormat="1" applyFont="1"/>
    <xf numFmtId="2" fontId="8" fillId="0" borderId="0" xfId="0" applyNumberFormat="1" applyFont="1"/>
    <xf numFmtId="2" fontId="2" fillId="2" borderId="0" xfId="0" applyNumberFormat="1" applyFont="1" applyFill="1"/>
    <xf numFmtId="2" fontId="2" fillId="0" borderId="0" xfId="0" applyNumberFormat="1" applyFont="1" applyFill="1"/>
    <xf numFmtId="2" fontId="2" fillId="5" borderId="0" xfId="0" applyNumberFormat="1" applyFont="1" applyFill="1"/>
    <xf numFmtId="2" fontId="2" fillId="3" borderId="0" xfId="0" applyNumberFormat="1" applyFont="1" applyFill="1"/>
    <xf numFmtId="2" fontId="7" fillId="5" borderId="0" xfId="0" applyNumberFormat="1" applyFont="1" applyFill="1"/>
    <xf numFmtId="2" fontId="2" fillId="7" borderId="0" xfId="0" applyNumberFormat="1" applyFont="1" applyFill="1" applyAlignment="1">
      <alignment horizontal="center"/>
    </xf>
    <xf numFmtId="2" fontId="2" fillId="0" borderId="0" xfId="0" applyNumberFormat="1" applyFont="1" applyBorder="1"/>
    <xf numFmtId="2" fontId="2" fillId="7" borderId="0" xfId="0" applyNumberFormat="1" applyFont="1" applyFill="1"/>
    <xf numFmtId="2" fontId="7" fillId="0" borderId="0" xfId="0" applyNumberFormat="1" applyFont="1"/>
    <xf numFmtId="2" fontId="7" fillId="7" borderId="0" xfId="0" applyNumberFormat="1" applyFont="1" applyFill="1"/>
    <xf numFmtId="49" fontId="1" fillId="0" borderId="0" xfId="0" applyNumberFormat="1" applyFont="1"/>
    <xf numFmtId="49" fontId="2" fillId="0" borderId="0" xfId="0" applyNumberFormat="1" applyFont="1" applyAlignment="1">
      <alignment wrapText="1"/>
    </xf>
    <xf numFmtId="49" fontId="1" fillId="0" borderId="0" xfId="0" applyNumberFormat="1" applyFont="1" applyAlignment="1">
      <alignment horizontal="center" vertical="center"/>
    </xf>
    <xf numFmtId="49" fontId="2" fillId="0" borderId="0" xfId="0" applyNumberFormat="1" applyFont="1" applyAlignment="1">
      <alignment horizontal="left" vertical="center"/>
    </xf>
    <xf numFmtId="49" fontId="2" fillId="4" borderId="0" xfId="0" applyNumberFormat="1" applyFont="1" applyFill="1" applyAlignment="1">
      <alignment horizontal="left" vertical="center"/>
    </xf>
    <xf numFmtId="49" fontId="2" fillId="9" borderId="0" xfId="0" applyNumberFormat="1" applyFont="1" applyFill="1" applyAlignment="1">
      <alignment horizontal="left" vertical="center"/>
    </xf>
    <xf numFmtId="49" fontId="6" fillId="0" borderId="0" xfId="0" applyNumberFormat="1" applyFont="1" applyAlignment="1">
      <alignment horizontal="left" vertical="center"/>
    </xf>
    <xf numFmtId="49" fontId="5" fillId="0" borderId="0" xfId="0" applyNumberFormat="1" applyFont="1" applyAlignment="1">
      <alignment horizontal="left" vertical="center"/>
    </xf>
    <xf numFmtId="49" fontId="8" fillId="0" borderId="0" xfId="0" applyNumberFormat="1" applyFont="1" applyAlignment="1">
      <alignment horizontal="left" vertical="center"/>
    </xf>
    <xf numFmtId="49" fontId="2" fillId="2" borderId="0" xfId="0" applyNumberFormat="1" applyFont="1" applyFill="1" applyAlignment="1">
      <alignment horizontal="left" vertical="center"/>
    </xf>
    <xf numFmtId="49" fontId="2" fillId="3" borderId="0" xfId="0" applyNumberFormat="1" applyFont="1" applyFill="1" applyAlignment="1">
      <alignment horizontal="left" vertical="center"/>
    </xf>
    <xf numFmtId="49" fontId="11" fillId="0" borderId="0" xfId="0" applyNumberFormat="1" applyFont="1" applyAlignment="1">
      <alignment horizontal="left" vertical="center"/>
    </xf>
    <xf numFmtId="49" fontId="5" fillId="0" borderId="0" xfId="0" applyNumberFormat="1" applyFont="1" applyFill="1" applyBorder="1"/>
    <xf numFmtId="49" fontId="10" fillId="0" borderId="0" xfId="0" applyNumberFormat="1" applyFont="1" applyAlignment="1">
      <alignment horizontal="left" vertical="center"/>
    </xf>
    <xf numFmtId="49" fontId="7" fillId="0" borderId="0" xfId="0" applyNumberFormat="1" applyFont="1" applyAlignment="1">
      <alignment horizontal="left" vertical="center"/>
    </xf>
    <xf numFmtId="49" fontId="5" fillId="6" borderId="0" xfId="0" applyNumberFormat="1" applyFont="1" applyFill="1" applyAlignment="1">
      <alignment horizontal="left" vertical="center"/>
    </xf>
    <xf numFmtId="49" fontId="0" fillId="0" borderId="0" xfId="0" applyNumberFormat="1" applyFont="1" applyAlignment="1">
      <alignment horizontal="left" vertical="center"/>
    </xf>
    <xf numFmtId="49" fontId="0" fillId="5" borderId="0" xfId="0" applyNumberFormat="1" applyFont="1" applyFill="1" applyAlignment="1">
      <alignment horizontal="left" vertical="center"/>
    </xf>
    <xf numFmtId="49" fontId="9" fillId="6" borderId="0" xfId="0" applyNumberFormat="1" applyFont="1" applyFill="1" applyAlignment="1">
      <alignment horizontal="left" vertical="center"/>
    </xf>
    <xf numFmtId="49" fontId="2" fillId="0" borderId="0" xfId="0" applyNumberFormat="1" applyFont="1" applyFill="1" applyAlignment="1">
      <alignment horizontal="left" vertical="center"/>
    </xf>
    <xf numFmtId="49" fontId="7" fillId="5" borderId="0" xfId="0" applyNumberFormat="1" applyFont="1" applyFill="1" applyAlignment="1">
      <alignment horizontal="left" vertical="center"/>
    </xf>
    <xf numFmtId="49" fontId="2" fillId="5" borderId="0" xfId="0" applyNumberFormat="1" applyFont="1" applyFill="1" applyAlignment="1">
      <alignment horizontal="left" vertical="center"/>
    </xf>
    <xf numFmtId="49" fontId="5" fillId="5" borderId="0" xfId="0" applyNumberFormat="1" applyFont="1" applyFill="1" applyAlignment="1">
      <alignment horizontal="left" vertical="center"/>
    </xf>
    <xf numFmtId="49" fontId="5" fillId="3" borderId="0" xfId="0" applyNumberFormat="1" applyFont="1" applyFill="1" applyAlignment="1">
      <alignment horizontal="left" vertical="center"/>
    </xf>
    <xf numFmtId="49" fontId="2" fillId="0" borderId="0" xfId="0" applyNumberFormat="1" applyFont="1"/>
    <xf numFmtId="49" fontId="2" fillId="2" borderId="0" xfId="0" applyNumberFormat="1" applyFont="1" applyFill="1"/>
    <xf numFmtId="49" fontId="2" fillId="7" borderId="0" xfId="0" applyNumberFormat="1" applyFont="1" applyFill="1"/>
    <xf numFmtId="49" fontId="5" fillId="7" borderId="0" xfId="0" applyNumberFormat="1" applyFont="1" applyFill="1" applyBorder="1"/>
    <xf numFmtId="49" fontId="2" fillId="0" borderId="0" xfId="0" applyNumberFormat="1" applyFont="1" applyFill="1" applyBorder="1" applyAlignment="1">
      <alignment horizontal="left"/>
    </xf>
    <xf numFmtId="49" fontId="2" fillId="0" borderId="0" xfId="0" applyNumberFormat="1" applyFont="1" applyFill="1" applyBorder="1"/>
    <xf numFmtId="49" fontId="2" fillId="0" borderId="0" xfId="0" applyNumberFormat="1" applyFont="1" applyAlignment="1">
      <alignment horizontal="left"/>
    </xf>
    <xf numFmtId="49" fontId="5" fillId="0" borderId="0" xfId="0" applyNumberFormat="1" applyFont="1"/>
    <xf numFmtId="49" fontId="7" fillId="0" borderId="0" xfId="0" applyNumberFormat="1" applyFont="1"/>
    <xf numFmtId="49" fontId="7" fillId="7" borderId="0" xfId="0" applyNumberFormat="1" applyFont="1" applyFill="1"/>
    <xf numFmtId="49" fontId="2" fillId="0" borderId="0" xfId="0" applyNumberFormat="1" applyFont="1" applyAlignment="1">
      <alignment horizontal="center"/>
    </xf>
    <xf numFmtId="49" fontId="14" fillId="0" borderId="0" xfId="0" applyNumberFormat="1" applyFont="1"/>
    <xf numFmtId="49" fontId="13" fillId="0" borderId="0" xfId="0" applyNumberFormat="1" applyFont="1"/>
    <xf numFmtId="49" fontId="1" fillId="0" borderId="0" xfId="0" applyNumberFormat="1" applyFont="1" applyAlignment="1">
      <alignment horizontal="center" vertical="center" wrapText="1"/>
    </xf>
    <xf numFmtId="49" fontId="2" fillId="4" borderId="0" xfId="0" applyNumberFormat="1" applyFont="1" applyFill="1"/>
    <xf numFmtId="49" fontId="2" fillId="9" borderId="0" xfId="0" applyNumberFormat="1" applyFont="1" applyFill="1"/>
    <xf numFmtId="49" fontId="6" fillId="0" borderId="0" xfId="0" applyNumberFormat="1" applyFont="1"/>
    <xf numFmtId="49" fontId="8" fillId="0" borderId="0" xfId="0" applyNumberFormat="1" applyFont="1"/>
    <xf numFmtId="49" fontId="2" fillId="0" borderId="0" xfId="0" applyNumberFormat="1" applyFont="1" applyFill="1"/>
    <xf numFmtId="49" fontId="2" fillId="5" borderId="0" xfId="0" applyNumberFormat="1" applyFont="1" applyFill="1"/>
    <xf numFmtId="49" fontId="2" fillId="3" borderId="0" xfId="0" applyNumberFormat="1" applyFont="1" applyFill="1"/>
    <xf numFmtId="49" fontId="7" fillId="5" borderId="0" xfId="0" applyNumberFormat="1" applyFont="1" applyFill="1"/>
    <xf numFmtId="49" fontId="2" fillId="7" borderId="0" xfId="0" applyNumberFormat="1" applyFont="1" applyFill="1" applyAlignment="1">
      <alignment horizontal="center"/>
    </xf>
    <xf numFmtId="49" fontId="2" fillId="0" borderId="0" xfId="0" applyNumberFormat="1" applyFont="1" applyBorder="1"/>
    <xf numFmtId="2" fontId="1" fillId="0" borderId="0" xfId="0" applyNumberFormat="1" applyFont="1" applyAlignment="1">
      <alignment horizontal="center" vertical="center" wrapText="1"/>
    </xf>
    <xf numFmtId="2" fontId="2" fillId="0" borderId="0" xfId="0" applyNumberFormat="1" applyFont="1" applyFill="1" applyBorder="1"/>
    <xf numFmtId="164" fontId="15" fillId="0" borderId="0" xfId="0" applyNumberFormat="1" applyFont="1" applyBorder="1" applyAlignment="1">
      <alignment horizontal="center" vertical="center" wrapText="1"/>
    </xf>
    <xf numFmtId="164" fontId="2" fillId="4" borderId="0" xfId="0" applyNumberFormat="1" applyFont="1" applyFill="1" applyAlignment="1">
      <alignment horizontal="center"/>
    </xf>
    <xf numFmtId="164" fontId="2" fillId="9" borderId="0" xfId="0" applyNumberFormat="1" applyFont="1" applyFill="1" applyAlignment="1">
      <alignment horizontal="center"/>
    </xf>
    <xf numFmtId="164" fontId="6" fillId="0" borderId="0" xfId="0" applyNumberFormat="1" applyFont="1" applyAlignment="1">
      <alignment horizontal="center"/>
    </xf>
    <xf numFmtId="164" fontId="8" fillId="0" borderId="0" xfId="0" applyNumberFormat="1" applyFont="1" applyAlignment="1">
      <alignment horizontal="center"/>
    </xf>
    <xf numFmtId="164" fontId="2" fillId="0" borderId="0" xfId="0" applyNumberFormat="1" applyFont="1" applyFill="1" applyAlignment="1">
      <alignment horizontal="center"/>
    </xf>
    <xf numFmtId="164" fontId="2" fillId="5" borderId="0" xfId="0" applyNumberFormat="1" applyFont="1" applyFill="1" applyAlignment="1">
      <alignment horizontal="center"/>
    </xf>
    <xf numFmtId="164" fontId="2" fillId="3" borderId="0" xfId="0" applyNumberFormat="1" applyFont="1" applyFill="1" applyAlignment="1">
      <alignment horizontal="center"/>
    </xf>
    <xf numFmtId="164" fontId="7" fillId="5" borderId="0" xfId="0" applyNumberFormat="1" applyFont="1" applyFill="1" applyAlignment="1">
      <alignment horizontal="center"/>
    </xf>
    <xf numFmtId="164" fontId="2" fillId="0" borderId="0" xfId="0" applyNumberFormat="1" applyFont="1" applyBorder="1" applyAlignment="1">
      <alignment horizontal="center"/>
    </xf>
    <xf numFmtId="166" fontId="2" fillId="0" borderId="0" xfId="0" applyNumberFormat="1" applyFont="1" applyAlignment="1">
      <alignment horizontal="center"/>
    </xf>
    <xf numFmtId="164" fontId="5" fillId="2" borderId="0" xfId="0" applyNumberFormat="1" applyFont="1" applyFill="1" applyAlignment="1">
      <alignment horizontal="center"/>
    </xf>
    <xf numFmtId="165" fontId="2" fillId="9" borderId="0" xfId="0" applyFont="1" applyFill="1" applyAlignment="1">
      <alignment horizontal="center"/>
    </xf>
    <xf numFmtId="165" fontId="2" fillId="5" borderId="0" xfId="0" applyFont="1" applyFill="1" applyAlignment="1">
      <alignment horizontal="center"/>
    </xf>
    <xf numFmtId="164" fontId="11" fillId="5"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colors>
    <mruColors>
      <color rgb="FFFF990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70384951881014"/>
          <c:y val="6.2708151064450282E-2"/>
          <c:w val="0.68429483814523184"/>
          <c:h val="0.81008530183727034"/>
        </c:manualLayout>
      </c:layout>
      <c:scatterChart>
        <c:scatterStyle val="smoothMarker"/>
        <c:varyColors val="0"/>
        <c:ser>
          <c:idx val="0"/>
          <c:order val="0"/>
          <c:tx>
            <c:v>EQUILIBRIUM CURVE</c:v>
          </c:tx>
          <c:spPr>
            <a:ln w="19050" cap="rnd">
              <a:solidFill>
                <a:schemeClr val="tx1"/>
              </a:solidFill>
              <a:round/>
            </a:ln>
            <a:effectLst/>
          </c:spPr>
          <c:marker>
            <c:symbol val="circle"/>
            <c:size val="3"/>
            <c:spPr>
              <a:solidFill>
                <a:schemeClr val="tx1"/>
              </a:solidFill>
              <a:ln w="3175">
                <a:solidFill>
                  <a:schemeClr val="tx1"/>
                </a:solidFill>
              </a:ln>
              <a:effectLst/>
            </c:spPr>
          </c:marker>
          <c:dLbls>
            <c:dLbl>
              <c:idx val="0"/>
              <c:tx>
                <c:rich>
                  <a:bodyPr/>
                  <a:lstStyle/>
                  <a:p>
                    <a:fld id="{7A4834CD-D042-4355-BFDA-F61F07F1A673}"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672D00A5-6F23-464D-B71F-3EAB70F46589}"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2"/>
              <c:tx>
                <c:rich>
                  <a:bodyPr/>
                  <a:lstStyle/>
                  <a:p>
                    <a:fld id="{B74AD2A4-D57F-42E5-90C9-15442CF4EECA}"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3"/>
              <c:tx>
                <c:rich>
                  <a:bodyPr/>
                  <a:lstStyle/>
                  <a:p>
                    <a:fld id="{DEC7B076-21E9-49A6-9000-1C76227D6909}"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4"/>
              <c:tx>
                <c:rich>
                  <a:bodyPr/>
                  <a:lstStyle/>
                  <a:p>
                    <a:fld id="{7C76AD8A-4E58-48DD-984B-B445919323B7}"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5"/>
              <c:tx>
                <c:rich>
                  <a:bodyPr/>
                  <a:lstStyle/>
                  <a:p>
                    <a:fld id="{DB60234E-4409-44A9-8235-0A7579E37EDB}"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6"/>
              <c:tx>
                <c:rich>
                  <a:bodyPr/>
                  <a:lstStyle/>
                  <a:p>
                    <a:fld id="{B5069D75-6547-47E0-B548-89FF4B175123}" type="CELLRANGE">
                      <a:rPr lang="en-GB"/>
                      <a:pPr/>
                      <a:t>[CELLRANGE]</a:t>
                    </a:fld>
                    <a:endParaRPr lang="en-GB"/>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2"/>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3"/>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4"/>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5"/>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6"/>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7"/>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19"/>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2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dLbl>
              <c:idx val="21"/>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plot!$S$12:$S$33</c:f>
              <c:numCache>
                <c:formatCode>General</c:formatCode>
                <c:ptCount val="22"/>
                <c:pt idx="0">
                  <c:v>7.4485229080000002</c:v>
                </c:pt>
                <c:pt idx="1">
                  <c:v>6.6351886660000003</c:v>
                </c:pt>
                <c:pt idx="2">
                  <c:v>5.9223957760000001</c:v>
                </c:pt>
                <c:pt idx="3">
                  <c:v>5.0371434869999998</c:v>
                </c:pt>
                <c:pt idx="4">
                  <c:v>3.9252950470000001</c:v>
                </c:pt>
                <c:pt idx="5">
                  <c:v>2.498946712</c:v>
                </c:pt>
                <c:pt idx="6">
                  <c:v>1.6557147400000001</c:v>
                </c:pt>
                <c:pt idx="7">
                  <c:v>1.1321971790000001</c:v>
                </c:pt>
                <c:pt idx="8">
                  <c:v>0.795701467</c:v>
                </c:pt>
                <c:pt idx="10">
                  <c:v>0.57266039899999999</c:v>
                </c:pt>
                <c:pt idx="11">
                  <c:v>0.42066524799999999</c:v>
                </c:pt>
                <c:pt idx="17">
                  <c:v>0.31449344200000001</c:v>
                </c:pt>
                <c:pt idx="18">
                  <c:v>0.238690438</c:v>
                </c:pt>
                <c:pt idx="19">
                  <c:v>0.18351551199999999</c:v>
                </c:pt>
                <c:pt idx="20">
                  <c:v>1.9603822E-2</c:v>
                </c:pt>
                <c:pt idx="21">
                  <c:v>1.7927869999999999E-3</c:v>
                </c:pt>
              </c:numCache>
            </c:numRef>
          </c:xVal>
          <c:yVal>
            <c:numRef>
              <c:f>plot!$T$12:$T$33</c:f>
              <c:numCache>
                <c:formatCode>General</c:formatCode>
                <c:ptCount val="22"/>
                <c:pt idx="0">
                  <c:v>27.84001001</c:v>
                </c:pt>
                <c:pt idx="1">
                  <c:v>23.709665409999999</c:v>
                </c:pt>
                <c:pt idx="2">
                  <c:v>20.301910769999999</c:v>
                </c:pt>
                <c:pt idx="3">
                  <c:v>16.195758739999999</c:v>
                </c:pt>
                <c:pt idx="4">
                  <c:v>11.29045443</c:v>
                </c:pt>
                <c:pt idx="5">
                  <c:v>5.8261509130000002</c:v>
                </c:pt>
                <c:pt idx="6">
                  <c:v>3.2402460280000001</c:v>
                </c:pt>
                <c:pt idx="7">
                  <c:v>1.918261701</c:v>
                </c:pt>
                <c:pt idx="8">
                  <c:v>1.1943159210000001</c:v>
                </c:pt>
                <c:pt idx="10">
                  <c:v>0.77453021200000005</c:v>
                </c:pt>
                <c:pt idx="11">
                  <c:v>0.51942619400000001</c:v>
                </c:pt>
                <c:pt idx="17">
                  <c:v>0.35831113599999997</c:v>
                </c:pt>
                <c:pt idx="18">
                  <c:v>0.25326476399999998</c:v>
                </c:pt>
                <c:pt idx="19">
                  <c:v>0.18293668699999999</c:v>
                </c:pt>
                <c:pt idx="20">
                  <c:v>2.0883549000000001E-2</c:v>
                </c:pt>
                <c:pt idx="21">
                  <c:v>1.3545188E-2</c:v>
                </c:pt>
              </c:numCache>
            </c:numRef>
          </c:yVal>
          <c:smooth val="1"/>
          <c:extLst>
            <c:ext xmlns:c15="http://schemas.microsoft.com/office/drawing/2012/chart" uri="{02D57815-91ED-43cb-92C2-25804820EDAC}">
              <c15:datalabelsRange>
                <c15:f>plot!$U$12:$U$18</c15:f>
                <c15:dlblRangeCache>
                  <c:ptCount val="7"/>
                  <c:pt idx="0">
                    <c:v>-20 °C</c:v>
                  </c:pt>
                  <c:pt idx="1">
                    <c:v>0 °C</c:v>
                  </c:pt>
                  <c:pt idx="2">
                    <c:v>20 °C</c:v>
                  </c:pt>
                  <c:pt idx="3">
                    <c:v>50 °C</c:v>
                  </c:pt>
                  <c:pt idx="4">
                    <c:v>100 °C</c:v>
                  </c:pt>
                  <c:pt idx="5">
                    <c:v>200 °C</c:v>
                  </c:pt>
                  <c:pt idx="6">
                    <c:v>300 °C</c:v>
                  </c:pt>
                </c15:dlblRangeCache>
              </c15:datalabelsRange>
            </c:ext>
          </c:extLst>
        </c:ser>
        <c:ser>
          <c:idx val="1"/>
          <c:order val="1"/>
          <c:tx>
            <c:v>in-situ</c:v>
          </c:tx>
          <c:spPr>
            <a:ln w="19050" cap="rnd">
              <a:noFill/>
              <a:round/>
            </a:ln>
            <a:effectLst/>
          </c:spPr>
          <c:marker>
            <c:symbol val="circle"/>
            <c:size val="10"/>
            <c:spPr>
              <a:solidFill>
                <a:srgbClr val="FFCCCC"/>
              </a:solidFill>
              <a:ln w="9525">
                <a:solidFill>
                  <a:schemeClr val="tx1"/>
                </a:solidFill>
              </a:ln>
              <a:effectLst/>
            </c:spPr>
          </c:marker>
          <c:xVal>
            <c:numRef>
              <c:f>plot!$I$2:$I$13</c:f>
              <c:numCache>
                <c:formatCode>0.000</c:formatCode>
                <c:ptCount val="12"/>
                <c:pt idx="0">
                  <c:v>3.6385565651853025</c:v>
                </c:pt>
                <c:pt idx="1">
                  <c:v>3.0470054568472182</c:v>
                </c:pt>
                <c:pt idx="2">
                  <c:v>2.17016790331237</c:v>
                </c:pt>
                <c:pt idx="3">
                  <c:v>2.8175119347064737</c:v>
                </c:pt>
                <c:pt idx="4">
                  <c:v>2.1244846616426116</c:v>
                </c:pt>
                <c:pt idx="5">
                  <c:v>5.7762534568794877</c:v>
                </c:pt>
                <c:pt idx="6">
                  <c:v>5.1357906686555488</c:v>
                </c:pt>
                <c:pt idx="7">
                  <c:v>4.7298854651012245</c:v>
                </c:pt>
                <c:pt idx="8">
                  <c:v>2.5885886930014923</c:v>
                </c:pt>
                <c:pt idx="9">
                  <c:v>5.3096784035320255</c:v>
                </c:pt>
                <c:pt idx="10">
                  <c:v>3.2366810872050955</c:v>
                </c:pt>
                <c:pt idx="11">
                  <c:v>5.1232418932400936</c:v>
                </c:pt>
              </c:numCache>
            </c:numRef>
          </c:xVal>
          <c:yVal>
            <c:numRef>
              <c:f>plot!$K$2:$K$13</c:f>
              <c:numCache>
                <c:formatCode>0.000</c:formatCode>
                <c:ptCount val="12"/>
                <c:pt idx="0">
                  <c:v>2.6667316400994512</c:v>
                </c:pt>
                <c:pt idx="1">
                  <c:v>-1.2217686647514325</c:v>
                </c:pt>
                <c:pt idx="2">
                  <c:v>3.1917430224395194</c:v>
                </c:pt>
                <c:pt idx="3">
                  <c:v>0.54356647487230347</c:v>
                </c:pt>
                <c:pt idx="4">
                  <c:v>2.4465109500531046</c:v>
                </c:pt>
                <c:pt idx="5">
                  <c:v>16.078874180021518</c:v>
                </c:pt>
                <c:pt idx="6">
                  <c:v>14.079792520949264</c:v>
                </c:pt>
                <c:pt idx="7">
                  <c:v>14.56377542642584</c:v>
                </c:pt>
                <c:pt idx="8">
                  <c:v>0.73793905140218108</c:v>
                </c:pt>
                <c:pt idx="9">
                  <c:v>13.433247821886374</c:v>
                </c:pt>
                <c:pt idx="10">
                  <c:v>2.3313356356047255</c:v>
                </c:pt>
                <c:pt idx="11">
                  <c:v>11.732892333353506</c:v>
                </c:pt>
              </c:numCache>
            </c:numRef>
          </c:yVal>
          <c:smooth val="1"/>
        </c:ser>
        <c:ser>
          <c:idx val="2"/>
          <c:order val="2"/>
          <c:tx>
            <c:v>incubation</c:v>
          </c:tx>
          <c:spPr>
            <a:ln w="19050" cap="rnd">
              <a:noFill/>
              <a:round/>
            </a:ln>
            <a:effectLst/>
          </c:spPr>
          <c:marker>
            <c:symbol val="square"/>
            <c:size val="11"/>
            <c:spPr>
              <a:solidFill>
                <a:schemeClr val="tx1"/>
              </a:solidFill>
              <a:ln w="9525">
                <a:solidFill>
                  <a:schemeClr val="tx1"/>
                </a:solidFill>
              </a:ln>
              <a:effectLst/>
            </c:spPr>
          </c:marker>
          <c:xVal>
            <c:numRef>
              <c:f>plot!$I$15</c:f>
              <c:numCache>
                <c:formatCode>0.000</c:formatCode>
                <c:ptCount val="1"/>
                <c:pt idx="0">
                  <c:v>5.4093285543925784</c:v>
                </c:pt>
              </c:numCache>
            </c:numRef>
          </c:xVal>
          <c:yVal>
            <c:numRef>
              <c:f>plot!$K$15</c:f>
              <c:numCache>
                <c:formatCode>0.000</c:formatCode>
                <c:ptCount val="1"/>
                <c:pt idx="0">
                  <c:v>9.6676733931804204</c:v>
                </c:pt>
              </c:numCache>
            </c:numRef>
          </c:yVal>
          <c:smooth val="1"/>
        </c:ser>
        <c:dLbls>
          <c:showLegendKey val="0"/>
          <c:showVal val="0"/>
          <c:showCatName val="0"/>
          <c:showSerName val="0"/>
          <c:showPercent val="0"/>
          <c:showBubbleSize val="0"/>
        </c:dLbls>
        <c:axId val="427422280"/>
        <c:axId val="427422672"/>
      </c:scatterChart>
      <c:valAx>
        <c:axId val="427422280"/>
        <c:scaling>
          <c:orientation val="minMax"/>
          <c:min val="-5"/>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D</a:t>
                </a:r>
                <a:r>
                  <a:rPr lang="en-GB" sz="1600" baseline="30000"/>
                  <a:t>13</a:t>
                </a:r>
                <a:r>
                  <a:rPr lang="en-GB" sz="1600"/>
                  <a:t>CH</a:t>
                </a:r>
                <a:r>
                  <a:rPr lang="en-GB" sz="1600" baseline="-25000"/>
                  <a:t>3</a:t>
                </a:r>
                <a:r>
                  <a:rPr lang="en-GB" sz="1600"/>
                  <a:t>D</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7422672"/>
        <c:crossesAt val="-50"/>
        <c:crossBetween val="midCat"/>
      </c:valAx>
      <c:valAx>
        <c:axId val="427422672"/>
        <c:scaling>
          <c:orientation val="minMax"/>
          <c:min val="-3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D</a:t>
                </a:r>
                <a:r>
                  <a:rPr lang="en-GB" sz="1600" baseline="30000"/>
                  <a:t>12</a:t>
                </a:r>
                <a:r>
                  <a:rPr lang="en-GB" sz="1600"/>
                  <a:t>CH</a:t>
                </a:r>
                <a:r>
                  <a:rPr lang="en-GB" sz="1600" baseline="-25000"/>
                  <a:t>2</a:t>
                </a:r>
                <a:r>
                  <a:rPr lang="en-GB" sz="1600"/>
                  <a:t>D</a:t>
                </a:r>
                <a:r>
                  <a:rPr lang="en-GB" sz="1600" baseline="-25000"/>
                  <a:t>2</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7422280"/>
        <c:crossesAt val="-30"/>
        <c:crossBetween val="midCat"/>
      </c:valAx>
      <c:spPr>
        <a:noFill/>
        <a:ln>
          <a:noFill/>
        </a:ln>
        <a:effectLst/>
      </c:spPr>
    </c:plotArea>
    <c:legend>
      <c:legendPos val="r"/>
      <c:layout>
        <c:manualLayout>
          <c:xMode val="edge"/>
          <c:yMode val="edge"/>
          <c:x val="0.6859291338582677"/>
          <c:y val="0.61631889763779535"/>
          <c:w val="0.1602177505589579"/>
          <c:h val="0.10869643132470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590550</xdr:colOff>
      <xdr:row>15</xdr:row>
      <xdr:rowOff>57151</xdr:rowOff>
    </xdr:from>
    <xdr:to>
      <xdr:col>12</xdr:col>
      <xdr:colOff>76200</xdr:colOff>
      <xdr:row>46</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61"/>
  <sheetViews>
    <sheetView tabSelected="1" zoomScale="110" zoomScaleNormal="110" workbookViewId="0">
      <pane xSplit="4" ySplit="3" topLeftCell="E953" activePane="bottomRight" state="frozen"/>
      <selection pane="topRight" activeCell="E1" sqref="E1"/>
      <selection pane="bottomLeft" activeCell="A2" sqref="A2"/>
      <selection pane="bottomRight" activeCell="K878" sqref="K878"/>
    </sheetView>
  </sheetViews>
  <sheetFormatPr defaultRowHeight="12.75" x14ac:dyDescent="0.2"/>
  <cols>
    <col min="1" max="1" width="13" style="56" customWidth="1"/>
    <col min="2" max="2" width="13.140625" style="56" bestFit="1" customWidth="1"/>
    <col min="3" max="3" width="12.28515625" style="4" customWidth="1"/>
    <col min="4" max="4" width="34.85546875" style="160" customWidth="1"/>
    <col min="5" max="5" width="11.7109375" style="80" customWidth="1"/>
    <col min="6" max="6" width="8" style="80" customWidth="1"/>
    <col min="7" max="7" width="9.28515625" style="80" customWidth="1"/>
    <col min="8" max="10" width="8" style="80" customWidth="1"/>
    <col min="11" max="11" width="8.42578125" style="80" bestFit="1" customWidth="1"/>
    <col min="12" max="12" width="8.140625" style="80" customWidth="1"/>
    <col min="13" max="13" width="32.7109375" style="160" customWidth="1"/>
    <col min="14" max="14" width="11.5703125" style="56" customWidth="1"/>
    <col min="15" max="15" width="9.7109375" style="56" customWidth="1"/>
    <col min="16" max="16" width="9.140625" style="80"/>
    <col min="17" max="17" width="7.42578125" style="80" customWidth="1"/>
    <col min="18" max="18" width="9.140625" style="80"/>
    <col min="19" max="19" width="6.140625" style="80" customWidth="1"/>
    <col min="20" max="20" width="9.140625" style="80"/>
    <col min="21" max="21" width="7.85546875" style="80" customWidth="1"/>
    <col min="22" max="22" width="9.140625" style="160"/>
    <col min="23" max="23" width="8.85546875" style="100" customWidth="1"/>
    <col min="24" max="24" width="7.7109375" style="100" customWidth="1"/>
    <col min="25" max="16384" width="9.140625" style="3"/>
  </cols>
  <sheetData>
    <row r="1" spans="1:24" x14ac:dyDescent="0.2">
      <c r="D1" s="136" t="s">
        <v>607</v>
      </c>
    </row>
    <row r="2" spans="1:24" ht="12.75" customHeight="1" x14ac:dyDescent="0.2">
      <c r="D2" s="137" t="s">
        <v>878</v>
      </c>
    </row>
    <row r="3" spans="1:24" s="2" customFormat="1" ht="28.5" x14ac:dyDescent="0.25">
      <c r="A3" s="55" t="s">
        <v>0</v>
      </c>
      <c r="B3" s="55" t="s">
        <v>1</v>
      </c>
      <c r="C3" s="1" t="s">
        <v>152</v>
      </c>
      <c r="D3" s="138" t="s">
        <v>2</v>
      </c>
      <c r="E3" s="81" t="s">
        <v>10</v>
      </c>
      <c r="F3" s="81" t="s">
        <v>3</v>
      </c>
      <c r="G3" s="81" t="s">
        <v>5</v>
      </c>
      <c r="H3" s="81" t="s">
        <v>3</v>
      </c>
      <c r="I3" s="81" t="s">
        <v>8</v>
      </c>
      <c r="J3" s="81" t="s">
        <v>3</v>
      </c>
      <c r="K3" s="81" t="s">
        <v>9</v>
      </c>
      <c r="L3" s="81" t="s">
        <v>3</v>
      </c>
      <c r="M3" s="138" t="s">
        <v>4</v>
      </c>
      <c r="N3" s="55" t="s">
        <v>134</v>
      </c>
      <c r="O3" s="55" t="s">
        <v>135</v>
      </c>
      <c r="P3" s="186" t="s">
        <v>1220</v>
      </c>
      <c r="Q3" s="186" t="s">
        <v>1221</v>
      </c>
      <c r="R3" s="186" t="s">
        <v>1222</v>
      </c>
      <c r="S3" s="186" t="s">
        <v>3</v>
      </c>
      <c r="T3" s="186" t="s">
        <v>1223</v>
      </c>
      <c r="U3" s="186" t="s">
        <v>3</v>
      </c>
      <c r="V3" s="173" t="s">
        <v>1219</v>
      </c>
      <c r="W3" s="184" t="s">
        <v>108</v>
      </c>
      <c r="X3" s="184" t="s">
        <v>109</v>
      </c>
    </row>
    <row r="4" spans="1:24" x14ac:dyDescent="0.2">
      <c r="A4" s="56">
        <v>1201</v>
      </c>
      <c r="B4" s="61">
        <v>0</v>
      </c>
      <c r="C4" s="5">
        <v>40864</v>
      </c>
      <c r="D4" s="139" t="s">
        <v>92</v>
      </c>
      <c r="E4" s="8">
        <v>-35.056855054000003</v>
      </c>
      <c r="F4" s="8">
        <v>4.0000000000000001E-3</v>
      </c>
      <c r="G4" s="8">
        <v>-50.493139570000004</v>
      </c>
      <c r="H4" s="8">
        <v>2.7E-2</v>
      </c>
      <c r="I4" s="8">
        <v>0.32755311477283833</v>
      </c>
      <c r="J4" s="8">
        <v>0.16500000000000001</v>
      </c>
      <c r="K4" s="8">
        <v>0.31788839319335516</v>
      </c>
      <c r="L4" s="8">
        <v>0.88800000000000001</v>
      </c>
      <c r="M4" s="139"/>
      <c r="N4" s="61"/>
      <c r="O4" s="61"/>
    </row>
    <row r="5" spans="1:24" x14ac:dyDescent="0.2">
      <c r="A5" s="56">
        <v>1203</v>
      </c>
      <c r="B5" s="61">
        <v>0</v>
      </c>
      <c r="C5" s="5">
        <v>40865</v>
      </c>
      <c r="D5" s="139" t="s">
        <v>93</v>
      </c>
      <c r="E5" s="8">
        <v>-35.059745161000002</v>
      </c>
      <c r="F5" s="8">
        <v>6.0000000000000001E-3</v>
      </c>
      <c r="G5" s="8">
        <v>-51.212912005</v>
      </c>
      <c r="H5" s="8">
        <v>2.1000000000000001E-2</v>
      </c>
      <c r="I5" s="8">
        <v>-0.35505830937554439</v>
      </c>
      <c r="J5" s="8">
        <v>0.18099999999999999</v>
      </c>
      <c r="K5" s="8">
        <v>-0.49447115750844706</v>
      </c>
      <c r="L5" s="8">
        <v>0.66300000000000003</v>
      </c>
      <c r="M5" s="139"/>
      <c r="N5" s="61"/>
      <c r="O5" s="61"/>
    </row>
    <row r="6" spans="1:24" x14ac:dyDescent="0.2">
      <c r="A6" s="56">
        <v>1205</v>
      </c>
      <c r="B6" s="61">
        <v>0</v>
      </c>
      <c r="C6" s="5">
        <v>40866</v>
      </c>
      <c r="D6" s="139" t="s">
        <v>94</v>
      </c>
      <c r="E6" s="8">
        <v>-40.873677076</v>
      </c>
      <c r="F6" s="8">
        <v>8.0000000000000002E-3</v>
      </c>
      <c r="G6" s="8">
        <v>-178.05845526900001</v>
      </c>
      <c r="H6" s="8">
        <v>1.2999999999999999E-2</v>
      </c>
      <c r="I6" s="8">
        <v>2.6956199044940732</v>
      </c>
      <c r="J6" s="8">
        <v>0.16700000000000001</v>
      </c>
      <c r="K6" s="8">
        <v>5.9713262524736521</v>
      </c>
      <c r="L6" s="8">
        <v>0.39500000000000002</v>
      </c>
      <c r="M6" s="139"/>
      <c r="N6" s="61"/>
      <c r="O6" s="61"/>
    </row>
    <row r="7" spans="1:24" x14ac:dyDescent="0.2">
      <c r="A7" s="56">
        <v>1207</v>
      </c>
      <c r="B7" s="61">
        <v>0</v>
      </c>
      <c r="C7" s="5">
        <v>41235</v>
      </c>
      <c r="D7" s="139" t="s">
        <v>95</v>
      </c>
      <c r="E7" s="8">
        <v>-40.726281618999998</v>
      </c>
      <c r="F7" s="8">
        <v>8.0000000000000002E-3</v>
      </c>
      <c r="G7" s="8">
        <v>-177.970953522</v>
      </c>
      <c r="H7" s="8">
        <v>1.2999999999999999E-2</v>
      </c>
      <c r="I7" s="8">
        <v>2.1095369096744143</v>
      </c>
      <c r="J7" s="8">
        <v>0.16700000000000001</v>
      </c>
      <c r="K7" s="8">
        <v>8.7049659013409553</v>
      </c>
      <c r="L7" s="8">
        <v>0.38</v>
      </c>
      <c r="M7" s="139"/>
      <c r="N7" s="61"/>
      <c r="O7" s="61"/>
    </row>
    <row r="8" spans="1:24" x14ac:dyDescent="0.2">
      <c r="A8" s="56">
        <v>1209</v>
      </c>
      <c r="B8" s="61">
        <v>0</v>
      </c>
      <c r="C8" s="5">
        <v>40870</v>
      </c>
      <c r="D8" s="139" t="s">
        <v>96</v>
      </c>
      <c r="E8" s="8">
        <v>-40.760962902999999</v>
      </c>
      <c r="F8" s="8">
        <v>6.0000000000000001E-3</v>
      </c>
      <c r="G8" s="8">
        <v>-177.905091992</v>
      </c>
      <c r="H8" s="8">
        <v>1.4999999999999999E-2</v>
      </c>
      <c r="I8" s="8">
        <v>2.6988102297913485</v>
      </c>
      <c r="J8" s="8">
        <v>0.187</v>
      </c>
      <c r="K8" s="8">
        <v>7.2961042575550028</v>
      </c>
      <c r="L8" s="8">
        <v>0.40200000000000002</v>
      </c>
      <c r="M8" s="139"/>
      <c r="N8" s="61"/>
      <c r="O8" s="61"/>
    </row>
    <row r="9" spans="1:24" x14ac:dyDescent="0.2">
      <c r="A9" s="56">
        <v>1211</v>
      </c>
      <c r="B9" s="61">
        <v>0</v>
      </c>
      <c r="C9" s="5">
        <v>40871</v>
      </c>
      <c r="D9" s="139" t="s">
        <v>97</v>
      </c>
      <c r="E9" s="8">
        <v>-40.700270656000001</v>
      </c>
      <c r="F9" s="8">
        <v>3.0000000000000001E-3</v>
      </c>
      <c r="G9" s="8">
        <v>-177.88627441199998</v>
      </c>
      <c r="H9" s="8">
        <v>1.2E-2</v>
      </c>
      <c r="I9" s="8">
        <v>3.0698508165925009</v>
      </c>
      <c r="J9" s="8">
        <v>0.155</v>
      </c>
      <c r="K9" s="8">
        <v>6.9241268345185958</v>
      </c>
      <c r="L9" s="8">
        <v>0.35299999999999998</v>
      </c>
      <c r="M9" s="139"/>
      <c r="N9" s="61"/>
      <c r="O9" s="61"/>
    </row>
    <row r="10" spans="1:24" x14ac:dyDescent="0.2">
      <c r="A10" s="56">
        <v>1213</v>
      </c>
      <c r="B10" s="61">
        <v>0</v>
      </c>
      <c r="C10" s="5">
        <v>40880</v>
      </c>
      <c r="D10" s="139" t="s">
        <v>98</v>
      </c>
      <c r="E10" s="8">
        <v>-34.917166549000001</v>
      </c>
      <c r="F10" s="8">
        <v>3.0000000000000001E-3</v>
      </c>
      <c r="G10" s="8">
        <v>-51.031322358000004</v>
      </c>
      <c r="H10" s="8">
        <v>1.4999999999999999E-2</v>
      </c>
      <c r="I10" s="8">
        <v>-2.1916877509520205E-3</v>
      </c>
      <c r="J10" s="8">
        <v>0.115</v>
      </c>
      <c r="K10" s="8">
        <v>-0.96928137859286778</v>
      </c>
      <c r="L10" s="8">
        <v>0.48499999999999999</v>
      </c>
      <c r="M10" s="139"/>
      <c r="N10" s="61"/>
      <c r="O10" s="61"/>
    </row>
    <row r="11" spans="1:24" x14ac:dyDescent="0.2">
      <c r="A11" s="56">
        <v>1217</v>
      </c>
      <c r="B11" s="61">
        <v>0</v>
      </c>
      <c r="C11" s="5">
        <v>40885</v>
      </c>
      <c r="D11" s="139" t="s">
        <v>99</v>
      </c>
      <c r="E11" s="8">
        <v>-35.014466818000002</v>
      </c>
      <c r="F11" s="8">
        <v>0.04</v>
      </c>
      <c r="G11" s="8">
        <v>-50.537360883000005</v>
      </c>
      <c r="H11" s="8">
        <v>2.1000000000000001E-2</v>
      </c>
      <c r="I11" s="8">
        <v>-0.32570418766941778</v>
      </c>
      <c r="J11" s="8">
        <v>0.21199999999999999</v>
      </c>
      <c r="K11" s="8">
        <v>-2.5560061436085135</v>
      </c>
      <c r="L11" s="8">
        <v>0.74199999999999999</v>
      </c>
      <c r="M11" s="139"/>
      <c r="N11" s="61"/>
      <c r="O11" s="61"/>
    </row>
    <row r="12" spans="1:24" x14ac:dyDescent="0.2">
      <c r="A12" s="56">
        <v>1219</v>
      </c>
      <c r="B12" s="61">
        <v>0</v>
      </c>
      <c r="C12" s="5">
        <v>40886</v>
      </c>
      <c r="D12" s="139" t="s">
        <v>100</v>
      </c>
      <c r="E12" s="8">
        <v>-34.937397298</v>
      </c>
      <c r="F12" s="8">
        <v>4.0000000000000001E-3</v>
      </c>
      <c r="G12" s="8">
        <v>-50.883604355000003</v>
      </c>
      <c r="H12" s="8">
        <v>1.2E-2</v>
      </c>
      <c r="I12" s="8">
        <v>0.14318235047361405</v>
      </c>
      <c r="J12" s="8">
        <v>0.16</v>
      </c>
      <c r="K12" s="8">
        <v>-1.3145964790383102</v>
      </c>
      <c r="L12" s="8">
        <v>0.47299999999999998</v>
      </c>
      <c r="M12" s="139"/>
      <c r="N12" s="61"/>
      <c r="O12" s="61"/>
    </row>
    <row r="13" spans="1:24" x14ac:dyDescent="0.2">
      <c r="A13" s="56">
        <v>1221</v>
      </c>
      <c r="B13" s="61">
        <v>0</v>
      </c>
      <c r="C13" s="5">
        <v>40887</v>
      </c>
      <c r="D13" s="139" t="s">
        <v>101</v>
      </c>
      <c r="E13" s="8">
        <v>-35.240858533000001</v>
      </c>
      <c r="F13" s="8">
        <v>4.0000000000000001E-3</v>
      </c>
      <c r="G13" s="8">
        <v>-51.734158971000006</v>
      </c>
      <c r="H13" s="8">
        <v>1.2999999999999999E-2</v>
      </c>
      <c r="I13" s="8">
        <v>-0.23803144980993896</v>
      </c>
      <c r="J13" s="8">
        <v>0.192</v>
      </c>
      <c r="K13" s="8">
        <v>-1.4501977894614271</v>
      </c>
      <c r="L13" s="8">
        <v>0.45800000000000002</v>
      </c>
      <c r="M13" s="139"/>
      <c r="N13" s="61"/>
      <c r="O13" s="61"/>
    </row>
    <row r="14" spans="1:24" x14ac:dyDescent="0.2">
      <c r="A14" s="56">
        <v>1223</v>
      </c>
      <c r="B14" s="61">
        <v>0</v>
      </c>
      <c r="C14" s="5">
        <v>40861</v>
      </c>
      <c r="D14" s="139" t="s">
        <v>102</v>
      </c>
      <c r="E14" s="8">
        <v>-42.332217741999997</v>
      </c>
      <c r="F14" s="8">
        <v>6.0000000000000001E-3</v>
      </c>
      <c r="G14" s="8">
        <v>-67.599260669000003</v>
      </c>
      <c r="H14" s="8">
        <v>1.2E-2</v>
      </c>
      <c r="I14" s="8">
        <v>-0.39002427359313696</v>
      </c>
      <c r="J14" s="8">
        <v>0.184</v>
      </c>
      <c r="K14" s="8">
        <v>-1.9275209519645786</v>
      </c>
      <c r="L14" s="8">
        <v>0.42499999999999999</v>
      </c>
      <c r="M14" s="139"/>
      <c r="N14" s="61"/>
      <c r="O14" s="61"/>
    </row>
    <row r="15" spans="1:24" x14ac:dyDescent="0.2">
      <c r="A15" s="56">
        <v>1225</v>
      </c>
      <c r="B15" s="61" t="s">
        <v>6</v>
      </c>
      <c r="C15" s="5">
        <v>40892</v>
      </c>
      <c r="D15" s="139" t="s">
        <v>7</v>
      </c>
      <c r="E15" s="8">
        <v>-34.826609863000002</v>
      </c>
      <c r="F15" s="8">
        <v>5.0000000000000001E-3</v>
      </c>
      <c r="G15" s="8">
        <v>-51.004036866999996</v>
      </c>
      <c r="H15" s="8">
        <v>1.9E-2</v>
      </c>
      <c r="I15" s="8">
        <v>-0.16434864071712685</v>
      </c>
      <c r="J15" s="8">
        <v>0.307</v>
      </c>
      <c r="K15" s="8">
        <v>-0.48164028910990808</v>
      </c>
      <c r="L15" s="8">
        <v>0.51200000000000001</v>
      </c>
      <c r="M15" s="139"/>
      <c r="N15" s="61"/>
      <c r="O15" s="61"/>
    </row>
    <row r="16" spans="1:24" x14ac:dyDescent="0.2">
      <c r="A16" s="56">
        <v>1227</v>
      </c>
      <c r="B16" s="61" t="s">
        <v>11</v>
      </c>
      <c r="C16" s="5">
        <v>40894</v>
      </c>
      <c r="D16" s="139" t="s">
        <v>12</v>
      </c>
      <c r="E16" s="8">
        <v>-41.404493394999996</v>
      </c>
      <c r="F16" s="8">
        <v>4.0000000000000001E-3</v>
      </c>
      <c r="G16" s="8">
        <v>-389.52101051899996</v>
      </c>
      <c r="H16" s="8">
        <v>1.6E-2</v>
      </c>
      <c r="I16" s="8">
        <v>5.3396514227126435</v>
      </c>
      <c r="J16" s="8">
        <v>0.113</v>
      </c>
      <c r="K16" s="8">
        <v>14.862246963897263</v>
      </c>
      <c r="L16" s="8">
        <v>0.28699999999999998</v>
      </c>
      <c r="M16" s="139"/>
      <c r="N16" s="61"/>
      <c r="O16" s="61"/>
    </row>
    <row r="17" spans="1:15" x14ac:dyDescent="0.2">
      <c r="A17" s="56">
        <v>1229</v>
      </c>
      <c r="B17" s="61" t="s">
        <v>13</v>
      </c>
      <c r="C17" s="5">
        <v>40894</v>
      </c>
      <c r="D17" s="139" t="s">
        <v>14</v>
      </c>
      <c r="E17" s="8">
        <v>-39.644418232</v>
      </c>
      <c r="F17" s="8">
        <v>3.0000000000000001E-3</v>
      </c>
      <c r="G17" s="8">
        <v>-391.46110301699997</v>
      </c>
      <c r="H17" s="8">
        <v>1.4999999999999999E-2</v>
      </c>
      <c r="I17" s="8">
        <v>5.7503010010060418</v>
      </c>
      <c r="J17" s="8">
        <v>0.10100000000000001</v>
      </c>
      <c r="K17" s="8">
        <v>17.978156322872472</v>
      </c>
      <c r="L17" s="8">
        <v>0.26600000000000001</v>
      </c>
      <c r="M17" s="139"/>
      <c r="N17" s="61"/>
      <c r="O17" s="61"/>
    </row>
    <row r="18" spans="1:15" x14ac:dyDescent="0.2">
      <c r="A18" s="56">
        <v>1232</v>
      </c>
      <c r="B18" s="61" t="s">
        <v>13</v>
      </c>
      <c r="C18" s="5">
        <v>40895</v>
      </c>
      <c r="D18" s="139" t="s">
        <v>15</v>
      </c>
      <c r="E18" s="8">
        <v>-39.611663686</v>
      </c>
      <c r="F18" s="8">
        <v>3.0000000000000001E-3</v>
      </c>
      <c r="G18" s="8">
        <v>-391.46110301699997</v>
      </c>
      <c r="H18" s="8">
        <v>1.4999999999999999E-2</v>
      </c>
      <c r="I18" s="8">
        <v>6.0866704630402335</v>
      </c>
      <c r="J18" s="8">
        <v>0.22900000000000001</v>
      </c>
      <c r="K18" s="8">
        <v>17.978156322872472</v>
      </c>
      <c r="L18" s="8">
        <v>0.26600000000000001</v>
      </c>
      <c r="M18" s="139"/>
      <c r="N18" s="61"/>
      <c r="O18" s="61"/>
    </row>
    <row r="19" spans="1:15" x14ac:dyDescent="0.2">
      <c r="A19" s="56">
        <v>1233</v>
      </c>
      <c r="B19" s="61" t="s">
        <v>16</v>
      </c>
      <c r="C19" s="5">
        <v>40897</v>
      </c>
      <c r="D19" s="139" t="s">
        <v>17</v>
      </c>
      <c r="E19" s="8">
        <v>-37.393024878999995</v>
      </c>
      <c r="F19" s="8">
        <v>4.0000000000000001E-3</v>
      </c>
      <c r="G19" s="8">
        <v>-433.81288944399995</v>
      </c>
      <c r="H19" s="8">
        <v>6.4000000000000001E-2</v>
      </c>
      <c r="I19" s="8">
        <v>3.8341801821897281</v>
      </c>
      <c r="J19" s="8">
        <v>9.9000000000000005E-2</v>
      </c>
      <c r="K19" s="8">
        <v>-54.436868942402853</v>
      </c>
      <c r="L19" s="8">
        <v>0.82899999999999996</v>
      </c>
      <c r="M19" s="139"/>
      <c r="N19" s="61"/>
      <c r="O19" s="61"/>
    </row>
    <row r="20" spans="1:15" x14ac:dyDescent="0.2">
      <c r="A20" s="56">
        <v>1236</v>
      </c>
      <c r="B20" s="61" t="s">
        <v>16</v>
      </c>
      <c r="C20" s="5">
        <v>40898</v>
      </c>
      <c r="D20" s="139" t="s">
        <v>18</v>
      </c>
      <c r="E20" s="8">
        <v>-37.393024878999995</v>
      </c>
      <c r="F20" s="8">
        <v>4.0000000000000001E-3</v>
      </c>
      <c r="G20" s="8">
        <v>-434.22593532499997</v>
      </c>
      <c r="H20" s="8">
        <v>3.4000000000000002E-2</v>
      </c>
      <c r="I20" s="8">
        <v>4.5670338056043036</v>
      </c>
      <c r="J20" s="8">
        <v>9.9000000000000005E-2</v>
      </c>
      <c r="K20" s="8">
        <v>-57.28347793767896</v>
      </c>
      <c r="L20" s="8">
        <v>0.58299999999999996</v>
      </c>
      <c r="M20" s="139"/>
      <c r="N20" s="61"/>
      <c r="O20" s="61"/>
    </row>
    <row r="21" spans="1:15" x14ac:dyDescent="0.2">
      <c r="A21" s="56">
        <v>1237</v>
      </c>
      <c r="B21" s="61" t="s">
        <v>19</v>
      </c>
      <c r="C21" s="5">
        <v>40904</v>
      </c>
      <c r="D21" s="139" t="s">
        <v>20</v>
      </c>
      <c r="E21" s="8">
        <v>-51.204846232000001</v>
      </c>
      <c r="F21" s="8">
        <v>8.0000000000000002E-3</v>
      </c>
      <c r="G21" s="8">
        <v>-248.85395474500001</v>
      </c>
      <c r="H21" s="8">
        <v>1.4E-2</v>
      </c>
      <c r="I21" s="8">
        <v>0.49683839300906918</v>
      </c>
      <c r="J21" s="8">
        <v>0.14199999999999999</v>
      </c>
      <c r="K21" s="8">
        <v>-7.6382690645218076</v>
      </c>
      <c r="L21" s="8">
        <v>0.39</v>
      </c>
      <c r="M21" s="139"/>
      <c r="N21" s="61"/>
      <c r="O21" s="61"/>
    </row>
    <row r="22" spans="1:15" x14ac:dyDescent="0.2">
      <c r="A22" s="56">
        <v>1239</v>
      </c>
      <c r="B22" s="61" t="s">
        <v>21</v>
      </c>
      <c r="C22" s="5">
        <v>40905</v>
      </c>
      <c r="D22" s="139" t="s">
        <v>22</v>
      </c>
      <c r="E22" s="8">
        <v>-48.547874529999994</v>
      </c>
      <c r="F22" s="8">
        <v>1.0999999999999999E-2</v>
      </c>
      <c r="G22" s="8">
        <v>-155.72010605099999</v>
      </c>
      <c r="H22" s="8">
        <v>1.6E-2</v>
      </c>
      <c r="I22" s="8">
        <v>0.52376671530485197</v>
      </c>
      <c r="J22" s="8">
        <v>0.217</v>
      </c>
      <c r="K22" s="8">
        <v>0.37148950406495906</v>
      </c>
      <c r="L22" s="8">
        <v>0.45600000000000002</v>
      </c>
      <c r="M22" s="139"/>
      <c r="N22" s="61"/>
      <c r="O22" s="61"/>
    </row>
    <row r="23" spans="1:15" x14ac:dyDescent="0.2">
      <c r="A23" s="56">
        <v>1241</v>
      </c>
      <c r="B23" s="61" t="s">
        <v>23</v>
      </c>
      <c r="C23" s="5">
        <v>40905</v>
      </c>
      <c r="D23" s="139" t="s">
        <v>22</v>
      </c>
      <c r="E23" s="8">
        <v>-48.567141910000004</v>
      </c>
      <c r="F23" s="8">
        <v>7.0000000000000001E-3</v>
      </c>
      <c r="G23" s="8">
        <v>-134.41013758</v>
      </c>
      <c r="H23" s="8">
        <v>1.7999999999999999E-2</v>
      </c>
      <c r="I23" s="8">
        <v>0.61494281324092626</v>
      </c>
      <c r="J23" s="8">
        <v>0.13900000000000001</v>
      </c>
      <c r="K23" s="8">
        <v>1.4054342135565445</v>
      </c>
      <c r="L23" s="8">
        <v>0.501</v>
      </c>
      <c r="M23" s="139"/>
      <c r="N23" s="61"/>
      <c r="O23" s="61"/>
    </row>
    <row r="24" spans="1:15" x14ac:dyDescent="0.2">
      <c r="A24" s="56">
        <v>1243</v>
      </c>
      <c r="B24" s="61" t="s">
        <v>24</v>
      </c>
      <c r="C24" s="5">
        <v>40911</v>
      </c>
      <c r="D24" s="139" t="s">
        <v>25</v>
      </c>
      <c r="E24" s="8">
        <v>-53.882048682999994</v>
      </c>
      <c r="F24" s="8">
        <v>1.4E-2</v>
      </c>
      <c r="G24" s="8">
        <v>-271.80199355499997</v>
      </c>
      <c r="H24" s="8">
        <v>2.1999999999999999E-2</v>
      </c>
      <c r="I24" s="8">
        <v>0.73874980315435934</v>
      </c>
      <c r="J24" s="8">
        <v>0.158</v>
      </c>
      <c r="K24" s="8">
        <v>-9.1987710600448516</v>
      </c>
      <c r="L24" s="8">
        <v>0.45200000000000001</v>
      </c>
      <c r="M24" s="139"/>
      <c r="N24" s="61"/>
      <c r="O24" s="61"/>
    </row>
    <row r="25" spans="1:15" x14ac:dyDescent="0.2">
      <c r="A25" s="56">
        <v>1245</v>
      </c>
      <c r="B25" s="61" t="s">
        <v>19</v>
      </c>
      <c r="C25" s="5">
        <v>40913</v>
      </c>
      <c r="D25" s="139" t="s">
        <v>26</v>
      </c>
      <c r="E25" s="8">
        <v>-49.081580955999996</v>
      </c>
      <c r="F25" s="8">
        <v>2.1000000000000001E-2</v>
      </c>
      <c r="G25" s="8">
        <v>-192.65619295400001</v>
      </c>
      <c r="H25" s="8">
        <v>1.7999999999999999E-2</v>
      </c>
      <c r="I25" s="8">
        <v>-0.34241654141975442</v>
      </c>
      <c r="J25" s="8">
        <v>0.17399999999999999</v>
      </c>
      <c r="K25" s="8">
        <v>-1.2250832351278218</v>
      </c>
      <c r="L25" s="8">
        <v>0.52600000000000002</v>
      </c>
      <c r="M25" s="139"/>
      <c r="N25" s="61"/>
      <c r="O25" s="61"/>
    </row>
    <row r="26" spans="1:15" x14ac:dyDescent="0.2">
      <c r="A26" s="56">
        <v>1247</v>
      </c>
      <c r="B26" s="61" t="s">
        <v>27</v>
      </c>
      <c r="C26" s="5">
        <v>40914</v>
      </c>
      <c r="D26" s="139" t="s">
        <v>28</v>
      </c>
      <c r="E26" s="8">
        <v>-49.197185235999996</v>
      </c>
      <c r="F26" s="8">
        <v>4.0000000000000001E-3</v>
      </c>
      <c r="G26" s="8">
        <v>-185.74825933600002</v>
      </c>
      <c r="H26" s="8">
        <v>0.02</v>
      </c>
      <c r="I26" s="8">
        <v>0.29821018067988092</v>
      </c>
      <c r="J26" s="8">
        <v>0.13400000000000001</v>
      </c>
      <c r="K26" s="8">
        <v>-2.2763238889894621</v>
      </c>
      <c r="L26" s="8">
        <v>0.47099999999999997</v>
      </c>
      <c r="M26" s="139"/>
      <c r="N26" s="61"/>
      <c r="O26" s="61"/>
    </row>
    <row r="27" spans="1:15" x14ac:dyDescent="0.2">
      <c r="A27" s="56">
        <v>1249</v>
      </c>
      <c r="B27" s="61" t="s">
        <v>29</v>
      </c>
      <c r="C27" s="5">
        <v>40916</v>
      </c>
      <c r="D27" s="139" t="s">
        <v>30</v>
      </c>
      <c r="E27" s="8">
        <v>-12.644075269</v>
      </c>
      <c r="F27" s="8">
        <v>3.0000000000000001E-3</v>
      </c>
      <c r="G27" s="8">
        <v>-121.066591602</v>
      </c>
      <c r="H27" s="8">
        <v>2.1999999999999999E-2</v>
      </c>
      <c r="I27" s="8">
        <v>3.5861175664515521</v>
      </c>
      <c r="J27" s="8">
        <v>0.126</v>
      </c>
      <c r="K27" s="8">
        <v>8.4509205424507794</v>
      </c>
      <c r="L27" s="8">
        <v>0.64600000000000002</v>
      </c>
      <c r="M27" s="139"/>
      <c r="N27" s="61"/>
      <c r="O27" s="61"/>
    </row>
    <row r="28" spans="1:15" x14ac:dyDescent="0.2">
      <c r="A28" s="56">
        <v>1251</v>
      </c>
      <c r="B28" s="61" t="s">
        <v>31</v>
      </c>
      <c r="C28" s="5">
        <v>40918</v>
      </c>
      <c r="D28" s="139" t="s">
        <v>32</v>
      </c>
      <c r="E28" s="8">
        <v>-58.921431922000004</v>
      </c>
      <c r="F28" s="8">
        <v>3.0000000000000001E-3</v>
      </c>
      <c r="G28" s="8">
        <v>-216.59779998800002</v>
      </c>
      <c r="H28" s="8">
        <v>0.04</v>
      </c>
      <c r="I28" s="8">
        <v>6.1001112392751189</v>
      </c>
      <c r="J28" s="8">
        <v>0.15</v>
      </c>
      <c r="K28" s="8">
        <v>13.577798776814642</v>
      </c>
      <c r="L28" s="8">
        <v>0.47199999999999998</v>
      </c>
      <c r="M28" s="139"/>
      <c r="N28" s="61"/>
      <c r="O28" s="61"/>
    </row>
    <row r="29" spans="1:15" x14ac:dyDescent="0.2">
      <c r="A29" s="56">
        <v>1253</v>
      </c>
      <c r="B29" s="61" t="s">
        <v>33</v>
      </c>
      <c r="C29" s="5">
        <v>40920</v>
      </c>
      <c r="D29" s="139" t="s">
        <v>34</v>
      </c>
      <c r="E29" s="8">
        <v>-53.512114986999997</v>
      </c>
      <c r="F29" s="8">
        <v>2.4E-2</v>
      </c>
      <c r="G29" s="8">
        <v>-206.391144596</v>
      </c>
      <c r="H29" s="8">
        <v>1.7999999999999999E-2</v>
      </c>
      <c r="I29" s="8">
        <v>6.4854580240125692</v>
      </c>
      <c r="J29" s="8">
        <v>0.122</v>
      </c>
      <c r="K29" s="8">
        <v>13.896960546183168</v>
      </c>
      <c r="L29" s="8">
        <v>0.437</v>
      </c>
      <c r="M29" s="139"/>
      <c r="N29" s="61"/>
      <c r="O29" s="61"/>
    </row>
    <row r="30" spans="1:15" x14ac:dyDescent="0.2">
      <c r="A30" s="56">
        <v>1255</v>
      </c>
      <c r="B30" s="61" t="s">
        <v>35</v>
      </c>
      <c r="C30" s="5">
        <v>40921</v>
      </c>
      <c r="D30" s="139" t="s">
        <v>36</v>
      </c>
      <c r="E30" s="8">
        <v>-14.629578777999999</v>
      </c>
      <c r="F30" s="8">
        <v>3.0000000000000001E-3</v>
      </c>
      <c r="G30" s="8">
        <v>-122.24927650500001</v>
      </c>
      <c r="H30" s="8">
        <v>1.4E-2</v>
      </c>
      <c r="I30" s="8">
        <v>3.258656907092039</v>
      </c>
      <c r="J30" s="8">
        <v>0.106</v>
      </c>
      <c r="K30" s="8">
        <v>10.243857812002544</v>
      </c>
      <c r="L30" s="8">
        <v>0.41799999999999998</v>
      </c>
      <c r="M30" s="139"/>
      <c r="N30" s="61"/>
      <c r="O30" s="61"/>
    </row>
    <row r="31" spans="1:15" x14ac:dyDescent="0.2">
      <c r="A31" s="56">
        <v>1257</v>
      </c>
      <c r="B31" s="61" t="s">
        <v>37</v>
      </c>
      <c r="C31" s="5">
        <v>40922</v>
      </c>
      <c r="D31" s="139" t="s">
        <v>38</v>
      </c>
      <c r="E31" s="8">
        <v>-32.598337366000003</v>
      </c>
      <c r="F31" s="8">
        <v>3.0000000000000001E-3</v>
      </c>
      <c r="G31" s="8">
        <v>-422.25230917099998</v>
      </c>
      <c r="H31" s="8">
        <v>1.4999999999999999E-2</v>
      </c>
      <c r="I31" s="8">
        <v>5.5755746935544082</v>
      </c>
      <c r="J31" s="8">
        <v>8.1000000000000003E-2</v>
      </c>
      <c r="K31" s="8">
        <v>-6.2683305282652535</v>
      </c>
      <c r="L31" s="8">
        <v>0.249</v>
      </c>
      <c r="M31" s="139"/>
      <c r="N31" s="61"/>
      <c r="O31" s="61"/>
    </row>
    <row r="32" spans="1:15" x14ac:dyDescent="0.2">
      <c r="A32" s="56">
        <v>1259</v>
      </c>
      <c r="B32" s="61" t="s">
        <v>39</v>
      </c>
      <c r="C32" s="5">
        <v>40927</v>
      </c>
      <c r="D32" s="139" t="s">
        <v>555</v>
      </c>
      <c r="E32" s="8">
        <v>-38.734997895999996</v>
      </c>
      <c r="F32" s="8">
        <v>1.2999999999999999E-2</v>
      </c>
      <c r="G32" s="8">
        <v>-411.67118393699997</v>
      </c>
      <c r="H32" s="8">
        <v>1.7000000000000001E-2</v>
      </c>
      <c r="I32" s="8">
        <v>5.8116619400288005</v>
      </c>
      <c r="J32" s="8">
        <v>0.08</v>
      </c>
      <c r="K32" s="8">
        <v>16.393191344435955</v>
      </c>
      <c r="L32" s="8">
        <v>0.29499999999999998</v>
      </c>
      <c r="M32" s="139"/>
      <c r="N32" s="61"/>
      <c r="O32" s="61"/>
    </row>
    <row r="33" spans="1:24" x14ac:dyDescent="0.2">
      <c r="A33" s="56">
        <v>1261</v>
      </c>
      <c r="B33" s="61" t="s">
        <v>40</v>
      </c>
      <c r="C33" s="5">
        <v>40928</v>
      </c>
      <c r="D33" s="139" t="s">
        <v>41</v>
      </c>
      <c r="E33" s="8">
        <v>-32.146517304999996</v>
      </c>
      <c r="F33" s="8">
        <v>1.4E-2</v>
      </c>
      <c r="G33" s="8">
        <v>-429.339009799</v>
      </c>
      <c r="H33" s="8">
        <v>1.2999999999999999E-2</v>
      </c>
      <c r="I33" s="8">
        <v>5.7588265258849969</v>
      </c>
      <c r="J33" s="8">
        <v>9.2999999999999999E-2</v>
      </c>
      <c r="K33" s="8">
        <v>-9.9095822601490404</v>
      </c>
      <c r="L33" s="8">
        <v>0.23599999999999999</v>
      </c>
      <c r="M33" s="139"/>
      <c r="N33" s="61"/>
      <c r="O33" s="61"/>
    </row>
    <row r="34" spans="1:24" x14ac:dyDescent="0.2">
      <c r="A34" s="56">
        <v>1263</v>
      </c>
      <c r="B34" s="61" t="s">
        <v>42</v>
      </c>
      <c r="C34" s="5">
        <v>40930</v>
      </c>
      <c r="D34" s="139" t="s">
        <v>43</v>
      </c>
      <c r="E34" s="8">
        <v>-12.492826336</v>
      </c>
      <c r="F34" s="8">
        <v>4.0000000000000001E-3</v>
      </c>
      <c r="G34" s="8">
        <v>-120.82949009399999</v>
      </c>
      <c r="H34" s="8">
        <v>0.01</v>
      </c>
      <c r="I34" s="8">
        <v>3.4885736893717212</v>
      </c>
      <c r="J34" s="8">
        <v>0.13100000000000001</v>
      </c>
      <c r="K34" s="8">
        <v>9.0147849197370622</v>
      </c>
      <c r="L34" s="8">
        <v>0.38100000000000001</v>
      </c>
      <c r="M34" s="139"/>
      <c r="N34" s="61"/>
      <c r="O34" s="61"/>
    </row>
    <row r="35" spans="1:24" s="30" customFormat="1" x14ac:dyDescent="0.2">
      <c r="A35" s="57">
        <v>1265</v>
      </c>
      <c r="B35" s="69" t="s">
        <v>44</v>
      </c>
      <c r="C35" s="28">
        <v>40932</v>
      </c>
      <c r="D35" s="140" t="s">
        <v>45</v>
      </c>
      <c r="E35" s="29">
        <v>-40.890054348999996</v>
      </c>
      <c r="F35" s="29">
        <v>5.0000000000000001E-3</v>
      </c>
      <c r="G35" s="29">
        <v>-89.800241553000006</v>
      </c>
      <c r="H35" s="29">
        <v>0.1</v>
      </c>
      <c r="I35" s="29">
        <v>0.33637533177111045</v>
      </c>
      <c r="J35" s="29">
        <v>0.16200000000000001</v>
      </c>
      <c r="K35" s="29">
        <v>2.3779645023189744</v>
      </c>
      <c r="L35" s="29">
        <v>0.68799999999999994</v>
      </c>
      <c r="M35" s="140"/>
      <c r="N35" s="69"/>
      <c r="O35" s="69"/>
      <c r="P35" s="187"/>
      <c r="Q35" s="187"/>
      <c r="R35" s="187"/>
      <c r="S35" s="187"/>
      <c r="T35" s="187"/>
      <c r="U35" s="187"/>
      <c r="V35" s="174"/>
      <c r="W35" s="121"/>
      <c r="X35" s="121"/>
    </row>
    <row r="36" spans="1:24" x14ac:dyDescent="0.2">
      <c r="A36" s="56">
        <v>1267</v>
      </c>
      <c r="B36" s="61" t="s">
        <v>46</v>
      </c>
      <c r="C36" s="5">
        <v>40934</v>
      </c>
      <c r="D36" s="139" t="s">
        <v>47</v>
      </c>
      <c r="E36" s="8">
        <v>-34.918129917999998</v>
      </c>
      <c r="F36" s="8">
        <v>5.0000000000000001E-3</v>
      </c>
      <c r="G36" s="8">
        <v>-50.972987859999996</v>
      </c>
      <c r="H36" s="8">
        <v>1.6E-2</v>
      </c>
      <c r="I36" s="8">
        <v>6.1045649496049847E-2</v>
      </c>
      <c r="J36" s="8">
        <v>0.11600000000000001</v>
      </c>
      <c r="K36" s="8">
        <v>-1.5065303478870584</v>
      </c>
      <c r="L36" s="8">
        <v>0.48</v>
      </c>
      <c r="M36" s="139"/>
      <c r="N36" s="61"/>
      <c r="O36" s="61"/>
    </row>
    <row r="37" spans="1:24" s="30" customFormat="1" x14ac:dyDescent="0.2">
      <c r="A37" s="57">
        <v>1269</v>
      </c>
      <c r="B37" s="69" t="s">
        <v>48</v>
      </c>
      <c r="C37" s="28">
        <v>40936</v>
      </c>
      <c r="D37" s="140" t="s">
        <v>49</v>
      </c>
      <c r="E37" s="29">
        <v>-37.099197333999996</v>
      </c>
      <c r="F37" s="29">
        <v>3.0000000000000001E-3</v>
      </c>
      <c r="G37" s="29">
        <v>-93.806504335</v>
      </c>
      <c r="H37" s="29">
        <v>1.4E-2</v>
      </c>
      <c r="I37" s="29">
        <v>1.0982068638185627</v>
      </c>
      <c r="J37" s="29">
        <v>0.109</v>
      </c>
      <c r="K37" s="29">
        <v>2.0350770086554615</v>
      </c>
      <c r="L37" s="29">
        <v>0.45900000000000002</v>
      </c>
      <c r="M37" s="140"/>
      <c r="N37" s="69"/>
      <c r="O37" s="69"/>
      <c r="P37" s="187"/>
      <c r="Q37" s="187"/>
      <c r="R37" s="187"/>
      <c r="S37" s="187"/>
      <c r="T37" s="187"/>
      <c r="U37" s="187"/>
      <c r="V37" s="174"/>
      <c r="W37" s="121"/>
      <c r="X37" s="121"/>
    </row>
    <row r="38" spans="1:24" s="30" customFormat="1" x14ac:dyDescent="0.2">
      <c r="A38" s="57">
        <v>1271</v>
      </c>
      <c r="B38" s="69" t="s">
        <v>50</v>
      </c>
      <c r="C38" s="28">
        <v>40938</v>
      </c>
      <c r="D38" s="140" t="s">
        <v>51</v>
      </c>
      <c r="E38" s="29">
        <v>-37.766812051000002</v>
      </c>
      <c r="F38" s="29">
        <v>0.01</v>
      </c>
      <c r="G38" s="29">
        <v>-69.154533655999998</v>
      </c>
      <c r="H38" s="29">
        <v>1.9E-2</v>
      </c>
      <c r="I38" s="29">
        <v>0.98923085879354389</v>
      </c>
      <c r="J38" s="29">
        <v>0.123</v>
      </c>
      <c r="K38" s="29">
        <v>0.96232112366267941</v>
      </c>
      <c r="L38" s="29">
        <v>0.55000000000000004</v>
      </c>
      <c r="M38" s="140"/>
      <c r="N38" s="69"/>
      <c r="O38" s="69"/>
      <c r="P38" s="187"/>
      <c r="Q38" s="187"/>
      <c r="R38" s="187"/>
      <c r="S38" s="187"/>
      <c r="T38" s="187"/>
      <c r="U38" s="187"/>
      <c r="V38" s="174"/>
      <c r="W38" s="121"/>
      <c r="X38" s="121"/>
    </row>
    <row r="39" spans="1:24" x14ac:dyDescent="0.2">
      <c r="A39" s="56">
        <v>1273</v>
      </c>
      <c r="B39" s="61" t="s">
        <v>52</v>
      </c>
      <c r="C39" s="5">
        <v>40939</v>
      </c>
      <c r="D39" s="139" t="s">
        <v>53</v>
      </c>
      <c r="E39" s="8">
        <v>-41.096215314999995</v>
      </c>
      <c r="F39" s="8">
        <v>7.0000000000000001E-3</v>
      </c>
      <c r="G39" s="8">
        <v>-367.05752439399998</v>
      </c>
      <c r="H39" s="8">
        <v>1.7999999999999999E-2</v>
      </c>
      <c r="I39" s="8">
        <v>5.1365564210916759</v>
      </c>
      <c r="J39" s="8">
        <v>9.9000000000000005E-2</v>
      </c>
      <c r="K39" s="8">
        <v>2.9752237578539731</v>
      </c>
      <c r="L39" s="8">
        <v>0.38500000000000001</v>
      </c>
      <c r="M39" s="139"/>
      <c r="N39" s="61"/>
      <c r="O39" s="61"/>
    </row>
    <row r="40" spans="1:24" x14ac:dyDescent="0.2">
      <c r="A40" s="56">
        <v>1275</v>
      </c>
      <c r="B40" s="61" t="s">
        <v>54</v>
      </c>
      <c r="C40" s="5">
        <v>40942</v>
      </c>
      <c r="D40" s="139" t="s">
        <v>55</v>
      </c>
      <c r="E40" s="8">
        <v>-62.385706846000005</v>
      </c>
      <c r="F40" s="8">
        <v>6.0000000000000001E-3</v>
      </c>
      <c r="G40" s="8">
        <v>-220.52973332900001</v>
      </c>
      <c r="H40" s="8">
        <v>1.7000000000000001E-2</v>
      </c>
      <c r="I40" s="8">
        <v>3.5942147943468505</v>
      </c>
      <c r="J40" s="8">
        <v>9.1999999999999998E-2</v>
      </c>
      <c r="K40" s="8">
        <v>5.9330771937833315</v>
      </c>
      <c r="L40" s="8">
        <v>0.48099999999999998</v>
      </c>
      <c r="M40" s="139"/>
      <c r="N40" s="61"/>
      <c r="O40" s="61"/>
    </row>
    <row r="41" spans="1:24" s="116" customFormat="1" x14ac:dyDescent="0.2">
      <c r="A41" s="112">
        <v>1278</v>
      </c>
      <c r="B41" s="113" t="s">
        <v>56</v>
      </c>
      <c r="C41" s="114">
        <v>40943</v>
      </c>
      <c r="D41" s="141" t="s">
        <v>57</v>
      </c>
      <c r="E41" s="115">
        <v>-25.969395277</v>
      </c>
      <c r="F41" s="115">
        <v>7.0000000000000001E-3</v>
      </c>
      <c r="G41" s="115">
        <v>-154.00300187600001</v>
      </c>
      <c r="H41" s="115">
        <v>1.7000000000000001E-2</v>
      </c>
      <c r="I41" s="115">
        <v>3.0482788206980249</v>
      </c>
      <c r="J41" s="115">
        <v>0.123</v>
      </c>
      <c r="K41" s="115">
        <v>9.249125923149748</v>
      </c>
      <c r="L41" s="115">
        <v>0.40799999999999997</v>
      </c>
      <c r="M41" s="141"/>
      <c r="N41" s="113"/>
      <c r="O41" s="113"/>
      <c r="P41" s="188"/>
      <c r="Q41" s="188"/>
      <c r="R41" s="188"/>
      <c r="S41" s="188"/>
      <c r="T41" s="188"/>
      <c r="U41" s="188"/>
      <c r="V41" s="175"/>
      <c r="W41" s="122"/>
      <c r="X41" s="122"/>
    </row>
    <row r="42" spans="1:24" s="30" customFormat="1" x14ac:dyDescent="0.2">
      <c r="A42" s="57">
        <v>1280</v>
      </c>
      <c r="B42" s="69" t="s">
        <v>58</v>
      </c>
      <c r="C42" s="28">
        <v>40945</v>
      </c>
      <c r="D42" s="140" t="s">
        <v>59</v>
      </c>
      <c r="E42" s="29">
        <v>-37.352563381000003</v>
      </c>
      <c r="F42" s="29">
        <v>3.0000000000000001E-3</v>
      </c>
      <c r="G42" s="29">
        <v>-86.601252952999999</v>
      </c>
      <c r="H42" s="29">
        <v>1.4999999999999999E-2</v>
      </c>
      <c r="I42" s="29">
        <v>1.2774811487532567</v>
      </c>
      <c r="J42" s="29">
        <v>0.10199999999999999</v>
      </c>
      <c r="K42" s="29">
        <v>1.9400504796351914</v>
      </c>
      <c r="L42" s="29">
        <v>0.46</v>
      </c>
      <c r="M42" s="140"/>
      <c r="N42" s="69"/>
      <c r="O42" s="69"/>
      <c r="P42" s="187"/>
      <c r="Q42" s="187"/>
      <c r="R42" s="187"/>
      <c r="S42" s="187"/>
      <c r="T42" s="187"/>
      <c r="U42" s="187"/>
      <c r="V42" s="174"/>
      <c r="W42" s="121"/>
      <c r="X42" s="121"/>
    </row>
    <row r="43" spans="1:24" x14ac:dyDescent="0.2">
      <c r="A43" s="56">
        <v>1282</v>
      </c>
      <c r="B43" s="61" t="s">
        <v>60</v>
      </c>
      <c r="C43" s="5">
        <v>40947</v>
      </c>
      <c r="D43" s="139" t="s">
        <v>61</v>
      </c>
      <c r="E43" s="8">
        <v>-41.447845000000001</v>
      </c>
      <c r="F43" s="8">
        <v>7.0000000000000001E-3</v>
      </c>
      <c r="G43" s="8">
        <v>-359.76759390199999</v>
      </c>
      <c r="H43" s="8">
        <v>1.6E-2</v>
      </c>
      <c r="I43" s="8">
        <v>4.4393304538223877</v>
      </c>
      <c r="J43" s="8">
        <v>8.7999999999999995E-2</v>
      </c>
      <c r="K43" s="8">
        <v>4.2495849190602453</v>
      </c>
      <c r="L43" s="8">
        <v>0.32</v>
      </c>
      <c r="M43" s="139"/>
      <c r="N43" s="61"/>
      <c r="O43" s="61"/>
    </row>
    <row r="44" spans="1:24" s="30" customFormat="1" x14ac:dyDescent="0.2">
      <c r="A44" s="57">
        <v>1284</v>
      </c>
      <c r="B44" s="69" t="s">
        <v>62</v>
      </c>
      <c r="C44" s="28">
        <v>40948</v>
      </c>
      <c r="D44" s="140" t="s">
        <v>63</v>
      </c>
      <c r="E44" s="29">
        <v>-37.013457492999997</v>
      </c>
      <c r="F44" s="29">
        <v>5.0000000000000001E-3</v>
      </c>
      <c r="G44" s="29">
        <v>-106.896953862</v>
      </c>
      <c r="H44" s="29">
        <v>1.4E-2</v>
      </c>
      <c r="I44" s="29">
        <v>1.7020448314035708</v>
      </c>
      <c r="J44" s="29">
        <v>0.16300000000000001</v>
      </c>
      <c r="K44" s="29">
        <v>3.1674772180030342</v>
      </c>
      <c r="L44" s="29">
        <v>0.42599999999999999</v>
      </c>
      <c r="M44" s="140"/>
      <c r="N44" s="69"/>
      <c r="O44" s="69"/>
      <c r="P44" s="187"/>
      <c r="Q44" s="187"/>
      <c r="R44" s="187"/>
      <c r="S44" s="187"/>
      <c r="T44" s="187"/>
      <c r="U44" s="187"/>
      <c r="V44" s="174"/>
      <c r="W44" s="121"/>
      <c r="X44" s="121"/>
    </row>
    <row r="45" spans="1:24" s="30" customFormat="1" x14ac:dyDescent="0.2">
      <c r="A45" s="57">
        <v>1287</v>
      </c>
      <c r="B45" s="69" t="s">
        <v>64</v>
      </c>
      <c r="C45" s="28">
        <v>40948</v>
      </c>
      <c r="D45" s="140" t="s">
        <v>65</v>
      </c>
      <c r="E45" s="29">
        <v>-40.400662896999997</v>
      </c>
      <c r="F45" s="29">
        <v>3.0000000000000001E-3</v>
      </c>
      <c r="G45" s="29">
        <v>-79.409173877000001</v>
      </c>
      <c r="H45" s="29">
        <v>1.4999999999999999E-2</v>
      </c>
      <c r="I45" s="29">
        <v>0.73951471473776564</v>
      </c>
      <c r="J45" s="29">
        <v>0.13600000000000001</v>
      </c>
      <c r="K45" s="29">
        <v>1.8081631020181455</v>
      </c>
      <c r="L45" s="29">
        <v>0.497</v>
      </c>
      <c r="M45" s="140"/>
      <c r="N45" s="69"/>
      <c r="O45" s="69"/>
      <c r="P45" s="187"/>
      <c r="Q45" s="187"/>
      <c r="R45" s="187"/>
      <c r="S45" s="187"/>
      <c r="T45" s="187"/>
      <c r="U45" s="187"/>
      <c r="V45" s="174"/>
      <c r="W45" s="121"/>
      <c r="X45" s="121"/>
    </row>
    <row r="46" spans="1:24" x14ac:dyDescent="0.2">
      <c r="A46" s="56">
        <v>1290</v>
      </c>
      <c r="B46" s="61" t="s">
        <v>66</v>
      </c>
      <c r="C46" s="5">
        <v>40951</v>
      </c>
      <c r="D46" s="139" t="s">
        <v>67</v>
      </c>
      <c r="E46" s="8">
        <v>-36.166656142000001</v>
      </c>
      <c r="F46" s="8">
        <v>1.4999999999999999E-2</v>
      </c>
      <c r="G46" s="8">
        <v>-323.66983018799999</v>
      </c>
      <c r="H46" s="8">
        <v>1.4999999999999999E-2</v>
      </c>
      <c r="I46" s="8">
        <v>3.1339668977525825</v>
      </c>
      <c r="J46" s="8">
        <v>0.108</v>
      </c>
      <c r="K46" s="8">
        <v>15.42896016614792</v>
      </c>
      <c r="L46" s="8">
        <v>0.33200000000000002</v>
      </c>
      <c r="M46" s="139"/>
      <c r="N46" s="61"/>
      <c r="O46" s="61"/>
    </row>
    <row r="47" spans="1:24" x14ac:dyDescent="0.2">
      <c r="A47" s="56">
        <v>1292</v>
      </c>
      <c r="B47" s="61" t="s">
        <v>68</v>
      </c>
      <c r="C47" s="5">
        <v>40954</v>
      </c>
      <c r="D47" s="139" t="s">
        <v>69</v>
      </c>
      <c r="E47" s="8">
        <v>-49.735708506999998</v>
      </c>
      <c r="F47" s="8">
        <v>1.2E-2</v>
      </c>
      <c r="G47" s="8">
        <v>-343.93260033199999</v>
      </c>
      <c r="H47" s="8">
        <v>1.4E-2</v>
      </c>
      <c r="I47" s="8">
        <v>6.0462245198213971</v>
      </c>
      <c r="J47" s="8">
        <v>0.16600000000000001</v>
      </c>
      <c r="K47" s="8">
        <v>21.612640393052995</v>
      </c>
      <c r="L47" s="8">
        <v>0.28999999999999998</v>
      </c>
      <c r="M47" s="139"/>
      <c r="N47" s="61"/>
      <c r="O47" s="61"/>
    </row>
    <row r="48" spans="1:24" x14ac:dyDescent="0.2">
      <c r="A48" s="56">
        <v>1295</v>
      </c>
      <c r="B48" s="61" t="s">
        <v>70</v>
      </c>
      <c r="C48" s="5">
        <v>40954</v>
      </c>
      <c r="D48" s="139" t="s">
        <v>71</v>
      </c>
      <c r="E48" s="8">
        <v>-36.020224054000003</v>
      </c>
      <c r="F48" s="8">
        <v>5.0000000000000001E-3</v>
      </c>
      <c r="G48" s="8">
        <v>-334.59343537799998</v>
      </c>
      <c r="H48" s="8">
        <v>1.4999999999999999E-2</v>
      </c>
      <c r="I48" s="8">
        <v>2.0418930862664553</v>
      </c>
      <c r="J48" s="8">
        <v>8.4000000000000005E-2</v>
      </c>
      <c r="K48" s="8">
        <v>1.9085216604692867</v>
      </c>
      <c r="L48" s="8">
        <v>0.30299999999999999</v>
      </c>
      <c r="M48" s="139"/>
      <c r="N48" s="61"/>
      <c r="O48" s="61"/>
    </row>
    <row r="49" spans="1:24" x14ac:dyDescent="0.2">
      <c r="A49" s="56">
        <v>1297</v>
      </c>
      <c r="B49" s="61" t="s">
        <v>72</v>
      </c>
      <c r="C49" s="5">
        <v>40957</v>
      </c>
      <c r="D49" s="139" t="s">
        <v>73</v>
      </c>
      <c r="E49" s="8">
        <v>-36.099220312</v>
      </c>
      <c r="F49" s="8">
        <v>5.0000000000000001E-3</v>
      </c>
      <c r="G49" s="8">
        <v>-158.869228064</v>
      </c>
      <c r="H49" s="8">
        <v>1.9E-2</v>
      </c>
      <c r="I49" s="8">
        <v>4.0892077824514761</v>
      </c>
      <c r="J49" s="8">
        <v>0.13200000000000001</v>
      </c>
      <c r="K49" s="8">
        <v>11.682948544402993</v>
      </c>
      <c r="L49" s="8">
        <v>0.38800000000000001</v>
      </c>
      <c r="M49" s="139"/>
      <c r="N49" s="61"/>
      <c r="O49" s="61"/>
      <c r="W49" s="100">
        <f>E49--36.631</f>
        <v>0.53177968800000031</v>
      </c>
      <c r="X49" s="100">
        <f>G49--59.121</f>
        <v>-99.748228063999989</v>
      </c>
    </row>
    <row r="50" spans="1:24" x14ac:dyDescent="0.2">
      <c r="A50" s="56">
        <v>1298</v>
      </c>
      <c r="B50" s="61" t="s">
        <v>74</v>
      </c>
      <c r="C50" s="5">
        <v>40958</v>
      </c>
      <c r="D50" s="139" t="s">
        <v>75</v>
      </c>
      <c r="E50" s="8">
        <v>-36.944094925000002</v>
      </c>
      <c r="F50" s="8">
        <v>0.02</v>
      </c>
      <c r="G50" s="8">
        <v>-327.640339568</v>
      </c>
      <c r="H50" s="8">
        <v>1.4999999999999999E-2</v>
      </c>
      <c r="I50" s="8">
        <v>2.6549002762135121</v>
      </c>
      <c r="J50" s="8">
        <v>7.6999999999999999E-2</v>
      </c>
      <c r="K50" s="8">
        <v>6.3437258140190966</v>
      </c>
      <c r="L50" s="8">
        <v>0.30399999999999999</v>
      </c>
      <c r="M50" s="139"/>
      <c r="N50" s="61"/>
      <c r="O50" s="61"/>
    </row>
    <row r="51" spans="1:24" x14ac:dyDescent="0.2">
      <c r="A51" s="56">
        <v>1300</v>
      </c>
      <c r="B51" s="61" t="s">
        <v>76</v>
      </c>
      <c r="C51" s="5">
        <v>40960</v>
      </c>
      <c r="D51" s="139" t="s">
        <v>77</v>
      </c>
      <c r="E51" s="8">
        <v>-37.256226480999999</v>
      </c>
      <c r="F51" s="8">
        <v>7.0000000000000001E-3</v>
      </c>
      <c r="G51" s="8">
        <v>-356.54320156899996</v>
      </c>
      <c r="H51" s="8">
        <v>1.4999999999999999E-2</v>
      </c>
      <c r="I51" s="8">
        <v>2.3692041747584991</v>
      </c>
      <c r="J51" s="8">
        <v>9.4E-2</v>
      </c>
      <c r="K51" s="8">
        <v>5.7461831589415979</v>
      </c>
      <c r="L51" s="8">
        <v>0.28999999999999998</v>
      </c>
      <c r="M51" s="139"/>
      <c r="N51" s="61"/>
      <c r="O51" s="61"/>
    </row>
    <row r="52" spans="1:24" x14ac:dyDescent="0.2">
      <c r="A52" s="56">
        <v>1302</v>
      </c>
      <c r="B52" s="61" t="s">
        <v>78</v>
      </c>
      <c r="C52" s="5">
        <v>40961</v>
      </c>
      <c r="D52" s="139" t="s">
        <v>79</v>
      </c>
      <c r="E52" s="8">
        <v>-49.063276944999998</v>
      </c>
      <c r="F52" s="8">
        <v>1.2E-2</v>
      </c>
      <c r="G52" s="8">
        <v>-246.19314893299997</v>
      </c>
      <c r="H52" s="8">
        <v>1.4E-2</v>
      </c>
      <c r="I52" s="8">
        <v>1.0766076469179708</v>
      </c>
      <c r="J52" s="8">
        <v>0.14699999999999999</v>
      </c>
      <c r="K52" s="8">
        <v>-3.0379253903050074</v>
      </c>
      <c r="L52" s="8">
        <v>0.34100000000000003</v>
      </c>
      <c r="M52" s="139"/>
      <c r="N52" s="61"/>
      <c r="O52" s="61"/>
    </row>
    <row r="53" spans="1:24" x14ac:dyDescent="0.2">
      <c r="A53" s="56">
        <v>1304</v>
      </c>
      <c r="B53" s="61" t="s">
        <v>80</v>
      </c>
      <c r="C53" s="5">
        <v>40962</v>
      </c>
      <c r="D53" s="139" t="s">
        <v>81</v>
      </c>
      <c r="E53" s="8">
        <v>-49.772316529000001</v>
      </c>
      <c r="F53" s="8">
        <v>8.9999999999999993E-3</v>
      </c>
      <c r="G53" s="8">
        <v>-157.05803598899999</v>
      </c>
      <c r="H53" s="8">
        <v>1.4E-2</v>
      </c>
      <c r="I53" s="8">
        <v>3.8804661437685795E-2</v>
      </c>
      <c r="J53" s="8">
        <v>0.11600000000000001</v>
      </c>
      <c r="K53" s="8">
        <v>0.73632004548529473</v>
      </c>
      <c r="L53" s="8">
        <v>0.40100000000000002</v>
      </c>
      <c r="M53" s="139"/>
      <c r="N53" s="61"/>
      <c r="O53" s="61"/>
    </row>
    <row r="54" spans="1:24" x14ac:dyDescent="0.2">
      <c r="A54" s="56">
        <v>1306</v>
      </c>
      <c r="B54" s="61" t="s">
        <v>82</v>
      </c>
      <c r="C54" s="5">
        <v>40964</v>
      </c>
      <c r="D54" s="139" t="s">
        <v>83</v>
      </c>
      <c r="E54" s="8">
        <v>-50.656689270999998</v>
      </c>
      <c r="F54" s="8">
        <v>4.0000000000000001E-3</v>
      </c>
      <c r="G54" s="8">
        <v>-230.270653616</v>
      </c>
      <c r="H54" s="8">
        <v>1.7000000000000001E-2</v>
      </c>
      <c r="I54" s="8">
        <v>-0.18119055290755082</v>
      </c>
      <c r="J54" s="8">
        <v>0.11</v>
      </c>
      <c r="K54" s="8">
        <v>-4.7869921381352709</v>
      </c>
      <c r="L54" s="8">
        <v>0.40899999999999997</v>
      </c>
      <c r="M54" s="139"/>
      <c r="N54" s="61"/>
      <c r="O54" s="61"/>
    </row>
    <row r="55" spans="1:24" x14ac:dyDescent="0.2">
      <c r="A55" s="56">
        <v>1308</v>
      </c>
      <c r="B55" s="61" t="s">
        <v>657</v>
      </c>
      <c r="C55" s="5">
        <v>40942</v>
      </c>
      <c r="D55" s="139" t="s">
        <v>55</v>
      </c>
      <c r="E55" s="8">
        <v>-63.017676909999999</v>
      </c>
      <c r="F55" s="8">
        <v>7.0000000000000001E-3</v>
      </c>
      <c r="G55" s="8">
        <v>-221.22786554700002</v>
      </c>
      <c r="H55" s="8">
        <v>1.0999999999999999E-2</v>
      </c>
      <c r="I55" s="8">
        <v>3.8012705371011091</v>
      </c>
      <c r="J55" s="8">
        <v>9.0999999999999998E-2</v>
      </c>
      <c r="K55" s="8">
        <v>5.9319069586234452</v>
      </c>
      <c r="L55" s="8">
        <v>0.32200000000000001</v>
      </c>
      <c r="M55" s="139"/>
      <c r="N55" s="61"/>
      <c r="O55" s="61"/>
    </row>
    <row r="56" spans="1:24" x14ac:dyDescent="0.2">
      <c r="A56" s="56">
        <v>1310</v>
      </c>
      <c r="B56" s="61" t="s">
        <v>84</v>
      </c>
      <c r="C56" s="5">
        <v>40968</v>
      </c>
      <c r="D56" s="139" t="s">
        <v>85</v>
      </c>
      <c r="E56" s="8">
        <v>-35.919070309000006</v>
      </c>
      <c r="F56" s="8">
        <v>1.6E-2</v>
      </c>
      <c r="G56" s="8">
        <v>-421.25027303600001</v>
      </c>
      <c r="H56" s="8">
        <v>1.4999999999999999E-2</v>
      </c>
      <c r="I56" s="8">
        <v>5.9958458605637865</v>
      </c>
      <c r="J56" s="8">
        <v>7.2999999999999995E-2</v>
      </c>
      <c r="K56" s="8">
        <v>5.2479474556865746</v>
      </c>
      <c r="L56" s="8">
        <v>0.29399999999999998</v>
      </c>
      <c r="M56" s="139"/>
      <c r="N56" s="61"/>
      <c r="O56" s="61"/>
    </row>
    <row r="57" spans="1:24" x14ac:dyDescent="0.2">
      <c r="A57" s="56">
        <v>1313</v>
      </c>
      <c r="B57" s="61" t="s">
        <v>86</v>
      </c>
      <c r="C57" s="5">
        <v>40970</v>
      </c>
      <c r="D57" s="139" t="s">
        <v>87</v>
      </c>
      <c r="E57" s="8">
        <v>-36.02407753</v>
      </c>
      <c r="F57" s="8">
        <v>2.8000000000000001E-2</v>
      </c>
      <c r="G57" s="8">
        <v>-52.080402443000004</v>
      </c>
      <c r="H57" s="8">
        <v>1.2999999999999999E-2</v>
      </c>
      <c r="I57" s="8">
        <v>0.26224012281317322</v>
      </c>
      <c r="J57" s="8">
        <v>0.157</v>
      </c>
      <c r="K57" s="8">
        <v>-1.187183387621582</v>
      </c>
      <c r="L57" s="8">
        <v>0.441</v>
      </c>
      <c r="M57" s="139"/>
      <c r="N57" s="61"/>
      <c r="O57" s="61"/>
      <c r="W57" s="100">
        <f>E57--36.631</f>
        <v>0.60692247000000066</v>
      </c>
      <c r="X57" s="100">
        <f>G57--59.121</f>
        <v>7.0405975569999981</v>
      </c>
    </row>
    <row r="58" spans="1:24" x14ac:dyDescent="0.2">
      <c r="A58" s="56">
        <v>1314</v>
      </c>
      <c r="B58" s="61" t="s">
        <v>123</v>
      </c>
      <c r="C58" s="5">
        <v>40970</v>
      </c>
      <c r="D58" s="139" t="s">
        <v>124</v>
      </c>
      <c r="E58" s="8">
        <v>-36.636780213999998</v>
      </c>
      <c r="F58" s="8">
        <v>1.0999999999999999E-2</v>
      </c>
      <c r="G58" s="8">
        <v>-59.146403733000007</v>
      </c>
      <c r="H58" s="8">
        <v>1.2999999999999999E-2</v>
      </c>
      <c r="I58" s="8">
        <v>0.17709637514240484</v>
      </c>
      <c r="J58" s="8">
        <v>0.106</v>
      </c>
      <c r="K58" s="8">
        <v>-1.2923491237407658</v>
      </c>
      <c r="L58" s="8">
        <v>0.45300000000000001</v>
      </c>
      <c r="M58" s="139"/>
      <c r="N58" s="61"/>
      <c r="O58" s="61"/>
      <c r="W58" s="100">
        <f>E58--36.631</f>
        <v>-5.7802139999978408E-3</v>
      </c>
      <c r="X58" s="100">
        <f>G58--59.121</f>
        <v>-2.5403733000004536E-2</v>
      </c>
    </row>
    <row r="59" spans="1:24" x14ac:dyDescent="0.2">
      <c r="A59" s="56">
        <v>1317</v>
      </c>
      <c r="B59" s="61" t="s">
        <v>52</v>
      </c>
      <c r="C59" s="5">
        <v>40940</v>
      </c>
      <c r="D59" s="139" t="s">
        <v>53</v>
      </c>
      <c r="E59" s="8">
        <v>-36.315014968</v>
      </c>
      <c r="F59" s="8">
        <v>1.2E-2</v>
      </c>
      <c r="G59" s="8">
        <v>-58.901775193000006</v>
      </c>
      <c r="H59" s="8">
        <v>2.1999999999999999E-2</v>
      </c>
      <c r="I59" s="8">
        <v>4.7986921893672374E-2</v>
      </c>
      <c r="J59" s="8">
        <v>0.17499999999999999</v>
      </c>
      <c r="K59" s="8">
        <v>-1.207278261743383</v>
      </c>
      <c r="L59" s="8">
        <v>0.60699999999999998</v>
      </c>
      <c r="M59" s="139"/>
      <c r="N59" s="61"/>
      <c r="O59" s="61"/>
    </row>
    <row r="60" spans="1:24" x14ac:dyDescent="0.2">
      <c r="A60" s="56">
        <v>1319</v>
      </c>
      <c r="B60" s="61" t="s">
        <v>88</v>
      </c>
      <c r="C60" s="5">
        <v>40979</v>
      </c>
      <c r="D60" s="139" t="s">
        <v>89</v>
      </c>
      <c r="E60" s="8">
        <v>-37.527896538999997</v>
      </c>
      <c r="F60" s="8">
        <v>4.0000000000000001E-3</v>
      </c>
      <c r="G60" s="8">
        <v>-59.678000367999999</v>
      </c>
      <c r="H60" s="8">
        <v>1.4E-2</v>
      </c>
      <c r="I60" s="8">
        <v>9.9692742769219578E-2</v>
      </c>
      <c r="J60" s="8">
        <v>0.12</v>
      </c>
      <c r="K60" s="8">
        <v>-1.7713755160611022</v>
      </c>
      <c r="L60" s="8">
        <v>0.47699999999999998</v>
      </c>
      <c r="M60" s="139"/>
      <c r="N60" s="61"/>
      <c r="O60" s="61"/>
      <c r="W60" s="100">
        <f>E60--36.631</f>
        <v>-0.89689653899999655</v>
      </c>
      <c r="X60" s="100">
        <f>G60--59.121</f>
        <v>-0.55700036799999708</v>
      </c>
    </row>
    <row r="61" spans="1:24" x14ac:dyDescent="0.2">
      <c r="A61" s="56">
        <v>1320</v>
      </c>
      <c r="B61" s="61" t="s">
        <v>90</v>
      </c>
      <c r="C61" s="5">
        <v>40981</v>
      </c>
      <c r="D61" s="139" t="s">
        <v>91</v>
      </c>
      <c r="E61" s="8">
        <v>-38.113624891000001</v>
      </c>
      <c r="F61" s="8">
        <v>6.0000000000000001E-3</v>
      </c>
      <c r="G61" s="8">
        <v>-60.068465152999998</v>
      </c>
      <c r="H61" s="8">
        <v>4.2000000000000003E-2</v>
      </c>
      <c r="I61" s="8">
        <v>0.31434290916809715</v>
      </c>
      <c r="J61" s="8">
        <v>0.16</v>
      </c>
      <c r="K61" s="8">
        <v>-1.1580922605669564</v>
      </c>
      <c r="L61" s="8">
        <v>2.33</v>
      </c>
      <c r="M61" s="139"/>
      <c r="N61" s="61"/>
      <c r="O61" s="61"/>
      <c r="W61" s="100">
        <f>E61--36.631</f>
        <v>-1.4826248910000004</v>
      </c>
      <c r="X61" s="100">
        <f>G61--59.121</f>
        <v>-0.94746515299999601</v>
      </c>
    </row>
    <row r="62" spans="1:24" x14ac:dyDescent="0.2">
      <c r="B62" s="61"/>
      <c r="C62" s="5"/>
      <c r="D62" s="139"/>
      <c r="E62" s="8"/>
      <c r="F62" s="8"/>
      <c r="G62" s="8"/>
      <c r="H62" s="8"/>
      <c r="I62" s="8"/>
      <c r="J62" s="8"/>
      <c r="K62" s="8"/>
      <c r="L62" s="8"/>
      <c r="M62" s="139"/>
      <c r="N62" s="61"/>
      <c r="O62" s="61"/>
    </row>
    <row r="63" spans="1:24" x14ac:dyDescent="0.2">
      <c r="A63" s="56">
        <v>1346</v>
      </c>
      <c r="B63" s="61" t="s">
        <v>117</v>
      </c>
      <c r="C63" s="5">
        <v>40978</v>
      </c>
      <c r="D63" s="139" t="s">
        <v>118</v>
      </c>
      <c r="E63" s="8">
        <v>-36.809223265</v>
      </c>
      <c r="F63" s="8">
        <v>6.0000000000000001E-3</v>
      </c>
      <c r="G63" s="8"/>
      <c r="H63" s="8"/>
      <c r="I63" s="8">
        <v>-3.9916356049496393E-2</v>
      </c>
      <c r="J63" s="8">
        <v>0.16</v>
      </c>
      <c r="K63" s="8"/>
      <c r="L63" s="8"/>
      <c r="M63" s="139" t="s">
        <v>119</v>
      </c>
      <c r="N63" s="61"/>
      <c r="O63" s="61"/>
      <c r="W63" s="100">
        <f t="shared" ref="W63:W68" si="0">E63--36.631</f>
        <v>-0.17822326499999974</v>
      </c>
    </row>
    <row r="64" spans="1:24" x14ac:dyDescent="0.2">
      <c r="A64" s="56">
        <v>1347</v>
      </c>
      <c r="B64" s="61" t="s">
        <v>116</v>
      </c>
      <c r="C64" s="5">
        <v>41009</v>
      </c>
      <c r="D64" s="139" t="s">
        <v>114</v>
      </c>
      <c r="E64" s="8">
        <v>0.19500000000000001</v>
      </c>
      <c r="F64" s="8">
        <v>5.0000000000000001E-3</v>
      </c>
      <c r="G64" s="8"/>
      <c r="H64" s="8"/>
      <c r="I64" s="8">
        <v>-2.2914986717470498E-2</v>
      </c>
      <c r="J64" s="8">
        <v>0.14599999999999999</v>
      </c>
      <c r="K64" s="8"/>
      <c r="L64" s="8"/>
      <c r="M64" s="139" t="s">
        <v>115</v>
      </c>
      <c r="N64" s="61"/>
      <c r="O64" s="61"/>
      <c r="W64" s="100">
        <f t="shared" si="0"/>
        <v>36.826000000000001</v>
      </c>
    </row>
    <row r="65" spans="1:24" x14ac:dyDescent="0.2">
      <c r="A65" s="56">
        <v>1350</v>
      </c>
      <c r="B65" s="61" t="s">
        <v>103</v>
      </c>
      <c r="C65" s="5">
        <v>41009</v>
      </c>
      <c r="D65" s="139" t="s">
        <v>104</v>
      </c>
      <c r="E65" s="8">
        <v>-36.617512833999996</v>
      </c>
      <c r="F65" s="8">
        <v>4.0000000000000001E-3</v>
      </c>
      <c r="G65" s="8">
        <v>-58.880134976000001</v>
      </c>
      <c r="H65" s="8">
        <v>2.3E-2</v>
      </c>
      <c r="I65" s="8">
        <v>-7.7891903556337461E-2</v>
      </c>
      <c r="J65" s="8">
        <v>0.113</v>
      </c>
      <c r="K65" s="8">
        <v>-1.6087294562995291</v>
      </c>
      <c r="L65" s="8">
        <v>0.66600000000000004</v>
      </c>
      <c r="M65" s="139" t="s">
        <v>106</v>
      </c>
      <c r="N65" s="61"/>
      <c r="O65" s="61"/>
      <c r="W65" s="100">
        <f t="shared" si="0"/>
        <v>1.3487166000004436E-2</v>
      </c>
      <c r="X65" s="100">
        <f>G65--59.121</f>
        <v>0.24086502400000143</v>
      </c>
    </row>
    <row r="66" spans="1:24" ht="10.5" customHeight="1" x14ac:dyDescent="0.2">
      <c r="A66" s="56">
        <v>1353</v>
      </c>
      <c r="B66" s="61" t="s">
        <v>105</v>
      </c>
      <c r="C66" s="5">
        <v>41010</v>
      </c>
      <c r="D66" s="139" t="s">
        <v>112</v>
      </c>
      <c r="E66" s="8">
        <v>-36.731190376000001</v>
      </c>
      <c r="F66" s="8">
        <v>1.2E-2</v>
      </c>
      <c r="G66" s="8">
        <v>-58.907420467000009</v>
      </c>
      <c r="H66" s="8">
        <v>1.7999999999999999E-2</v>
      </c>
      <c r="I66" s="8">
        <v>-0.16786488375775122</v>
      </c>
      <c r="J66" s="8">
        <v>0.374</v>
      </c>
      <c r="K66" s="8">
        <v>0.45756437256039284</v>
      </c>
      <c r="L66" s="8">
        <v>0.58699999999999997</v>
      </c>
      <c r="M66" s="139" t="s">
        <v>107</v>
      </c>
      <c r="N66" s="61"/>
      <c r="O66" s="61"/>
      <c r="W66" s="100">
        <f t="shared" si="0"/>
        <v>-0.10019037600000047</v>
      </c>
      <c r="X66" s="100">
        <f>G66--59.121</f>
        <v>0.21357953299999366</v>
      </c>
    </row>
    <row r="67" spans="1:24" ht="10.5" customHeight="1" x14ac:dyDescent="0.2">
      <c r="A67" s="56">
        <v>1356</v>
      </c>
      <c r="B67" s="61" t="s">
        <v>110</v>
      </c>
      <c r="C67" s="5">
        <v>41011</v>
      </c>
      <c r="D67" s="139" t="s">
        <v>113</v>
      </c>
      <c r="E67" s="8">
        <v>-36.671461497999999</v>
      </c>
      <c r="F67" s="8">
        <v>1.2E-2</v>
      </c>
      <c r="G67" s="8">
        <v>-58.677845991000005</v>
      </c>
      <c r="H67" s="8">
        <v>1.7999999999999999E-2</v>
      </c>
      <c r="I67" s="8">
        <v>-0.46868829971236092</v>
      </c>
      <c r="J67" s="8">
        <v>0.374</v>
      </c>
      <c r="K67" s="8">
        <v>-1.1713347423998322</v>
      </c>
      <c r="L67" s="8">
        <v>0.58699999999999997</v>
      </c>
      <c r="M67" s="139" t="s">
        <v>111</v>
      </c>
      <c r="N67" s="61"/>
      <c r="O67" s="61"/>
      <c r="W67" s="100">
        <f t="shared" si="0"/>
        <v>-4.0461497999999096E-2</v>
      </c>
      <c r="X67" s="100">
        <f>G67--59.121</f>
        <v>0.44315400899999702</v>
      </c>
    </row>
    <row r="68" spans="1:24" x14ac:dyDescent="0.2">
      <c r="A68" s="56">
        <v>1359</v>
      </c>
      <c r="B68" s="61" t="s">
        <v>120</v>
      </c>
      <c r="C68" s="5">
        <v>41011</v>
      </c>
      <c r="D68" s="139" t="s">
        <v>121</v>
      </c>
      <c r="E68" s="8">
        <v>-36.945058293999999</v>
      </c>
      <c r="F68" s="8">
        <v>7.0000000000000001E-3</v>
      </c>
      <c r="G68" s="8">
        <v>-59.098418903999999</v>
      </c>
      <c r="H68" s="8">
        <v>1.6E-2</v>
      </c>
      <c r="I68" s="8">
        <v>0.59527816018545288</v>
      </c>
      <c r="J68" s="8">
        <v>0.20300000000000001</v>
      </c>
      <c r="K68" s="8">
        <v>-0.13632982868283516</v>
      </c>
      <c r="L68" s="8">
        <v>0.46899999999999997</v>
      </c>
      <c r="M68" s="139" t="s">
        <v>122</v>
      </c>
      <c r="N68" s="61"/>
      <c r="O68" s="61"/>
      <c r="W68" s="100">
        <f t="shared" si="0"/>
        <v>-0.31405829399999874</v>
      </c>
      <c r="X68" s="100">
        <f>G68--59.121</f>
        <v>2.2581096000003242E-2</v>
      </c>
    </row>
    <row r="69" spans="1:24" x14ac:dyDescent="0.2">
      <c r="B69" s="61"/>
      <c r="C69" s="5"/>
      <c r="D69" s="139"/>
      <c r="E69" s="8"/>
      <c r="F69" s="8"/>
      <c r="G69" s="8"/>
      <c r="H69" s="8"/>
      <c r="I69" s="8"/>
      <c r="J69" s="8"/>
      <c r="K69" s="8"/>
      <c r="L69" s="8"/>
      <c r="M69" s="139"/>
      <c r="N69" s="61"/>
      <c r="O69" s="61"/>
    </row>
    <row r="70" spans="1:24" x14ac:dyDescent="0.2">
      <c r="A70" s="56">
        <v>1382</v>
      </c>
      <c r="B70" s="61" t="s">
        <v>125</v>
      </c>
      <c r="C70" s="5">
        <v>41016</v>
      </c>
      <c r="D70" s="139" t="s">
        <v>199</v>
      </c>
      <c r="E70" s="8">
        <v>-135.33875110899999</v>
      </c>
      <c r="F70" s="8">
        <v>8.5000000000000006E-2</v>
      </c>
      <c r="G70" s="8">
        <v>-158.30470066399999</v>
      </c>
      <c r="H70" s="8">
        <v>1.4E-2</v>
      </c>
      <c r="I70" s="8">
        <v>23.925331750936472</v>
      </c>
      <c r="J70" s="8">
        <v>4.0000000000000001E-3</v>
      </c>
      <c r="K70" s="8">
        <v>9.3275164085273587</v>
      </c>
      <c r="L70" s="8">
        <v>0.436</v>
      </c>
      <c r="M70" s="139"/>
      <c r="N70" s="61" t="s">
        <v>126</v>
      </c>
      <c r="O70" s="61" t="s">
        <v>127</v>
      </c>
    </row>
    <row r="71" spans="1:24" x14ac:dyDescent="0.2">
      <c r="B71" s="61"/>
      <c r="C71" s="5"/>
      <c r="D71" s="139"/>
      <c r="E71" s="8"/>
      <c r="F71" s="8"/>
      <c r="G71" s="8"/>
      <c r="H71" s="8"/>
      <c r="I71" s="8"/>
      <c r="J71" s="8"/>
      <c r="K71" s="8"/>
      <c r="L71" s="8"/>
      <c r="M71" s="139"/>
      <c r="N71" s="61"/>
      <c r="O71" s="61"/>
    </row>
    <row r="72" spans="1:24" x14ac:dyDescent="0.2">
      <c r="A72" s="107" t="s">
        <v>141</v>
      </c>
      <c r="B72" s="70"/>
      <c r="C72" s="5"/>
      <c r="D72" s="139"/>
      <c r="E72" s="8"/>
      <c r="F72" s="8"/>
      <c r="G72" s="8"/>
      <c r="H72" s="8"/>
      <c r="I72" s="8"/>
      <c r="J72" s="8"/>
      <c r="K72" s="8"/>
      <c r="L72" s="8"/>
      <c r="M72" s="139"/>
      <c r="N72" s="61"/>
      <c r="O72" s="61"/>
    </row>
    <row r="73" spans="1:24" s="17" customFormat="1" x14ac:dyDescent="0.2">
      <c r="A73" s="58">
        <v>1384</v>
      </c>
      <c r="B73" s="71" t="s">
        <v>128</v>
      </c>
      <c r="C73" s="14">
        <v>41017</v>
      </c>
      <c r="D73" s="142" t="s">
        <v>179</v>
      </c>
      <c r="E73" s="15">
        <v>-33.182138980000005</v>
      </c>
      <c r="F73" s="15">
        <v>1.4999999999999999E-2</v>
      </c>
      <c r="G73" s="15">
        <v>-327.766417354</v>
      </c>
      <c r="H73" s="15">
        <v>2.4E-2</v>
      </c>
      <c r="I73" s="16">
        <v>10.817545242481907</v>
      </c>
      <c r="J73" s="15">
        <v>0.111</v>
      </c>
      <c r="K73" s="15">
        <v>-45.962040933516967</v>
      </c>
      <c r="L73" s="15">
        <v>0.47299999999999998</v>
      </c>
      <c r="M73" s="142"/>
      <c r="N73" s="71" t="s">
        <v>129</v>
      </c>
      <c r="O73" s="71" t="s">
        <v>130</v>
      </c>
      <c r="P73" s="189"/>
      <c r="Q73" s="189"/>
      <c r="R73" s="189"/>
      <c r="S73" s="189"/>
      <c r="T73" s="189"/>
      <c r="U73" s="189"/>
      <c r="V73" s="176"/>
      <c r="W73" s="123"/>
      <c r="X73" s="123"/>
    </row>
    <row r="74" spans="1:24" s="12" customFormat="1" x14ac:dyDescent="0.2">
      <c r="A74" s="59">
        <v>1386</v>
      </c>
      <c r="B74" s="72" t="s">
        <v>131</v>
      </c>
      <c r="C74" s="10">
        <v>41018</v>
      </c>
      <c r="D74" s="143" t="s">
        <v>179</v>
      </c>
      <c r="E74" s="11">
        <v>-32.767890310000006</v>
      </c>
      <c r="F74" s="11">
        <v>7.0000000000000001E-3</v>
      </c>
      <c r="G74" s="11">
        <v>-328.40715595299997</v>
      </c>
      <c r="H74" s="11">
        <v>1.9E-2</v>
      </c>
      <c r="I74" s="13">
        <v>-3.880469353813365</v>
      </c>
      <c r="J74" s="11">
        <v>0.20300000000000001</v>
      </c>
      <c r="K74" s="11">
        <v>-40.857944937415233</v>
      </c>
      <c r="L74" s="11">
        <v>0.36399999999999999</v>
      </c>
      <c r="M74" s="143"/>
      <c r="N74" s="72" t="s">
        <v>133</v>
      </c>
      <c r="O74" s="72" t="s">
        <v>132</v>
      </c>
      <c r="P74" s="111"/>
      <c r="Q74" s="111"/>
      <c r="R74" s="111"/>
      <c r="S74" s="111"/>
      <c r="T74" s="111"/>
      <c r="U74" s="111"/>
      <c r="V74" s="167"/>
      <c r="W74" s="124"/>
      <c r="X74" s="124"/>
    </row>
    <row r="75" spans="1:24" x14ac:dyDescent="0.2">
      <c r="A75" s="56">
        <v>1388</v>
      </c>
      <c r="B75" s="61" t="s">
        <v>137</v>
      </c>
      <c r="C75" s="5">
        <v>41019</v>
      </c>
      <c r="D75" s="139" t="s">
        <v>179</v>
      </c>
      <c r="E75" s="8">
        <v>-32.763073464999998</v>
      </c>
      <c r="F75" s="8">
        <v>5.0000000000000001E-3</v>
      </c>
      <c r="G75" s="8">
        <v>-328.44761374999996</v>
      </c>
      <c r="H75" s="8">
        <v>1.7000000000000001E-2</v>
      </c>
      <c r="I75" s="8">
        <v>-3.8365825032565803</v>
      </c>
      <c r="J75" s="8">
        <v>9.0999999999999998E-2</v>
      </c>
      <c r="K75" s="8">
        <v>-43.239102636188576</v>
      </c>
      <c r="L75" s="8">
        <v>0.308</v>
      </c>
      <c r="M75" s="139"/>
      <c r="N75" s="61" t="s">
        <v>126</v>
      </c>
      <c r="O75" s="61" t="s">
        <v>127</v>
      </c>
    </row>
    <row r="76" spans="1:24" x14ac:dyDescent="0.2">
      <c r="A76" s="56">
        <v>1390</v>
      </c>
      <c r="B76" s="61" t="s">
        <v>136</v>
      </c>
      <c r="C76" s="5">
        <v>41019</v>
      </c>
      <c r="D76" s="139" t="s">
        <v>178</v>
      </c>
      <c r="E76" s="8">
        <v>-36.696509091999999</v>
      </c>
      <c r="F76" s="8">
        <v>5.0000000000000001E-3</v>
      </c>
      <c r="G76" s="8">
        <v>-59.456893803</v>
      </c>
      <c r="H76" s="8">
        <v>0.02</v>
      </c>
      <c r="I76" s="8">
        <v>-0.2220272200302853</v>
      </c>
      <c r="J76" s="8">
        <v>0.1</v>
      </c>
      <c r="K76" s="8">
        <v>-1.0378068393892548</v>
      </c>
      <c r="L76" s="8">
        <v>0.64</v>
      </c>
      <c r="M76" s="139"/>
      <c r="N76" s="61" t="s">
        <v>126</v>
      </c>
      <c r="O76" s="61" t="s">
        <v>130</v>
      </c>
      <c r="W76" s="100">
        <f>E76--36.631</f>
        <v>-6.5509091999999214E-2</v>
      </c>
    </row>
    <row r="77" spans="1:24" x14ac:dyDescent="0.2">
      <c r="A77" s="56">
        <v>1392</v>
      </c>
      <c r="B77" s="61" t="s">
        <v>138</v>
      </c>
      <c r="C77" s="5">
        <v>41023</v>
      </c>
      <c r="D77" s="139" t="s">
        <v>177</v>
      </c>
      <c r="E77" s="8">
        <v>-47.305128519999997</v>
      </c>
      <c r="F77" s="8">
        <v>5.0000000000000001E-3</v>
      </c>
      <c r="G77" s="8">
        <v>-393.97607258400001</v>
      </c>
      <c r="H77" s="8">
        <v>1.7000000000000001E-2</v>
      </c>
      <c r="I77" s="8">
        <v>3.4147610599917222</v>
      </c>
      <c r="J77" s="8">
        <v>9.0999999999999998E-2</v>
      </c>
      <c r="K77" s="8">
        <v>-16.344699656083318</v>
      </c>
      <c r="L77" s="8">
        <v>0.314</v>
      </c>
      <c r="M77" s="139"/>
      <c r="N77" s="61" t="s">
        <v>126</v>
      </c>
      <c r="O77" s="61" t="s">
        <v>139</v>
      </c>
    </row>
    <row r="78" spans="1:24" s="23" customFormat="1" x14ac:dyDescent="0.2">
      <c r="A78" s="60">
        <v>1394</v>
      </c>
      <c r="B78" s="73" t="s">
        <v>140</v>
      </c>
      <c r="C78" s="20">
        <v>41024</v>
      </c>
      <c r="D78" s="144" t="s">
        <v>177</v>
      </c>
      <c r="E78" s="22">
        <v>-49.355177751999996</v>
      </c>
      <c r="F78" s="22">
        <v>1.0999999999999999E-2</v>
      </c>
      <c r="G78" s="22">
        <v>-394.36841912699998</v>
      </c>
      <c r="H78" s="22">
        <v>1.4999999999999999E-2</v>
      </c>
      <c r="I78" s="22">
        <v>2.6610174666699127</v>
      </c>
      <c r="J78" s="22">
        <v>9.8000000000000004E-2</v>
      </c>
      <c r="K78" s="22">
        <v>-19.437013903564115</v>
      </c>
      <c r="L78" s="22">
        <v>0.30399999999999999</v>
      </c>
      <c r="M78" s="144"/>
      <c r="N78" s="73" t="s">
        <v>126</v>
      </c>
      <c r="O78" s="73" t="s">
        <v>127</v>
      </c>
      <c r="P78" s="190"/>
      <c r="Q78" s="190"/>
      <c r="R78" s="190"/>
      <c r="S78" s="190"/>
      <c r="T78" s="190"/>
      <c r="U78" s="190"/>
      <c r="V78" s="177"/>
      <c r="W78" s="125"/>
      <c r="X78" s="125"/>
    </row>
    <row r="79" spans="1:24" x14ac:dyDescent="0.2">
      <c r="A79" s="56">
        <v>1396</v>
      </c>
      <c r="B79" s="61" t="s">
        <v>142</v>
      </c>
      <c r="C79" s="5">
        <v>41025</v>
      </c>
      <c r="D79" s="139" t="s">
        <v>176</v>
      </c>
      <c r="E79" s="8">
        <v>-56.549617443999999</v>
      </c>
      <c r="F79" s="8">
        <v>7.0000000000000001E-3</v>
      </c>
      <c r="G79" s="8">
        <v>-340.17755224299998</v>
      </c>
      <c r="H79" s="8">
        <v>1.6E-2</v>
      </c>
      <c r="I79" s="8">
        <v>-1.107913423839646</v>
      </c>
      <c r="J79" s="8">
        <v>0.127</v>
      </c>
      <c r="K79" s="8">
        <v>-34.327051838700996</v>
      </c>
      <c r="L79" s="8">
        <v>0.34599999999999997</v>
      </c>
      <c r="M79" s="139"/>
      <c r="N79" s="61" t="s">
        <v>143</v>
      </c>
      <c r="O79" s="61" t="s">
        <v>127</v>
      </c>
    </row>
    <row r="80" spans="1:24" x14ac:dyDescent="0.2">
      <c r="A80" s="56">
        <v>1398</v>
      </c>
      <c r="B80" s="61" t="s">
        <v>144</v>
      </c>
      <c r="C80" s="5">
        <v>41027</v>
      </c>
      <c r="D80" s="139" t="s">
        <v>175</v>
      </c>
      <c r="E80" s="8">
        <v>-37.009604017000001</v>
      </c>
      <c r="F80" s="8">
        <v>3.0000000000000001E-3</v>
      </c>
      <c r="G80" s="8" t="s">
        <v>145</v>
      </c>
      <c r="H80" s="8" t="s">
        <v>145</v>
      </c>
      <c r="I80" s="8">
        <v>0.59139413009479114</v>
      </c>
      <c r="J80" s="8">
        <v>0.14099999999999999</v>
      </c>
      <c r="K80" s="8" t="s">
        <v>145</v>
      </c>
      <c r="L80" s="8" t="s">
        <v>145</v>
      </c>
      <c r="M80" s="139"/>
      <c r="N80" s="61" t="s">
        <v>146</v>
      </c>
      <c r="O80" s="61" t="s">
        <v>145</v>
      </c>
      <c r="W80" s="100">
        <f>E80--36.631</f>
        <v>-0.37860401700000068</v>
      </c>
    </row>
    <row r="81" spans="1:24" s="49" customFormat="1" x14ac:dyDescent="0.2">
      <c r="A81" s="107" t="s">
        <v>141</v>
      </c>
      <c r="B81" s="70"/>
      <c r="C81" s="47"/>
      <c r="D81" s="145"/>
      <c r="E81" s="50"/>
      <c r="F81" s="50"/>
      <c r="G81" s="50"/>
      <c r="H81" s="50"/>
      <c r="I81" s="50"/>
      <c r="J81" s="50"/>
      <c r="K81" s="50"/>
      <c r="L81" s="50"/>
      <c r="M81" s="145"/>
      <c r="N81" s="70"/>
      <c r="O81" s="70"/>
      <c r="P81" s="82"/>
      <c r="Q81" s="82"/>
      <c r="R81" s="82"/>
      <c r="S81" s="82"/>
      <c r="T81" s="82"/>
      <c r="U81" s="82"/>
      <c r="V81" s="161"/>
      <c r="W81" s="126"/>
      <c r="X81" s="126"/>
    </row>
    <row r="82" spans="1:24" x14ac:dyDescent="0.2">
      <c r="A82" s="56">
        <v>1399</v>
      </c>
      <c r="B82" s="61" t="s">
        <v>147</v>
      </c>
      <c r="C82" s="5">
        <v>41030</v>
      </c>
      <c r="D82" s="139" t="s">
        <v>174</v>
      </c>
      <c r="E82" s="8">
        <v>-37.159889581000002</v>
      </c>
      <c r="F82" s="8">
        <v>7.0000000000000001E-3</v>
      </c>
      <c r="G82" s="8" t="s">
        <v>145</v>
      </c>
      <c r="H82" s="8" t="s">
        <v>145</v>
      </c>
      <c r="I82" s="8">
        <v>0.76658933789008898</v>
      </c>
      <c r="J82" s="8">
        <v>0.246</v>
      </c>
      <c r="K82" s="8" t="s">
        <v>145</v>
      </c>
      <c r="L82" s="8" t="s">
        <v>145</v>
      </c>
      <c r="M82" s="139"/>
      <c r="N82" s="61" t="s">
        <v>148</v>
      </c>
      <c r="O82" s="61" t="s">
        <v>145</v>
      </c>
      <c r="W82" s="100">
        <f>E82--36.631</f>
        <v>-0.52888958100000139</v>
      </c>
    </row>
    <row r="83" spans="1:24" x14ac:dyDescent="0.2">
      <c r="A83" s="56">
        <v>1400</v>
      </c>
      <c r="B83" s="61"/>
      <c r="C83" s="5"/>
      <c r="D83" s="139" t="s">
        <v>149</v>
      </c>
      <c r="E83" s="8">
        <v>-36.873768988000002</v>
      </c>
      <c r="F83" s="8">
        <v>5.0000000000000001E-3</v>
      </c>
      <c r="G83" s="8" t="s">
        <v>145</v>
      </c>
      <c r="H83" s="8" t="s">
        <v>145</v>
      </c>
      <c r="I83" s="8">
        <v>0.95057936719977754</v>
      </c>
      <c r="J83" s="8">
        <v>0.2</v>
      </c>
      <c r="K83" s="8" t="s">
        <v>145</v>
      </c>
      <c r="L83" s="8" t="s">
        <v>145</v>
      </c>
      <c r="M83" s="139"/>
      <c r="N83" s="61" t="s">
        <v>148</v>
      </c>
      <c r="O83" s="61" t="s">
        <v>145</v>
      </c>
      <c r="W83" s="100">
        <f>E83--36.631</f>
        <v>-0.24276898800000168</v>
      </c>
    </row>
    <row r="84" spans="1:24" x14ac:dyDescent="0.2">
      <c r="A84" s="56">
        <v>1401</v>
      </c>
      <c r="B84" s="61" t="s">
        <v>150</v>
      </c>
      <c r="C84" s="5">
        <v>41030</v>
      </c>
      <c r="D84" s="139" t="s">
        <v>173</v>
      </c>
      <c r="E84" s="8">
        <v>-61.571660040999994</v>
      </c>
      <c r="F84" s="8">
        <v>3.5000000000000003E-2</v>
      </c>
      <c r="G84" s="8">
        <v>-219.82407407899998</v>
      </c>
      <c r="H84" s="8">
        <v>1.4E-2</v>
      </c>
      <c r="I84" s="8">
        <v>3.2305227445974527</v>
      </c>
      <c r="J84" s="8">
        <v>0.115</v>
      </c>
      <c r="K84" s="8">
        <v>5.5106929181238939</v>
      </c>
      <c r="L84" s="8">
        <v>0.40799999999999997</v>
      </c>
      <c r="M84" s="139"/>
      <c r="N84" s="61" t="s">
        <v>126</v>
      </c>
      <c r="O84" s="61" t="s">
        <v>127</v>
      </c>
    </row>
    <row r="85" spans="1:24" s="49" customFormat="1" x14ac:dyDescent="0.2">
      <c r="A85" s="107" t="s">
        <v>151</v>
      </c>
      <c r="B85" s="70"/>
      <c r="C85" s="47"/>
      <c r="D85" s="145"/>
      <c r="E85" s="50"/>
      <c r="F85" s="50"/>
      <c r="G85" s="50"/>
      <c r="H85" s="50"/>
      <c r="I85" s="50"/>
      <c r="J85" s="50"/>
      <c r="K85" s="50"/>
      <c r="L85" s="50"/>
      <c r="M85" s="145"/>
      <c r="N85" s="70"/>
      <c r="O85" s="70"/>
      <c r="P85" s="82"/>
      <c r="Q85" s="82"/>
      <c r="R85" s="82"/>
      <c r="S85" s="82"/>
      <c r="T85" s="82"/>
      <c r="U85" s="82"/>
      <c r="V85" s="161"/>
      <c r="W85" s="126"/>
      <c r="X85" s="126"/>
    </row>
    <row r="86" spans="1:24" x14ac:dyDescent="0.2">
      <c r="A86" s="61">
        <v>1405</v>
      </c>
      <c r="B86" s="56" t="s">
        <v>153</v>
      </c>
      <c r="C86" s="5">
        <v>41036</v>
      </c>
      <c r="D86" s="139" t="s">
        <v>154</v>
      </c>
      <c r="E86" s="8">
        <v>-36.620402940999995</v>
      </c>
      <c r="F86" s="8">
        <v>3.0000000000000001E-3</v>
      </c>
      <c r="G86" s="8">
        <v>-59.115354726</v>
      </c>
      <c r="H86" s="8">
        <v>1.4999999999999999E-2</v>
      </c>
      <c r="I86" s="8">
        <v>-0.38490236414623347</v>
      </c>
      <c r="J86" s="8">
        <v>0.153</v>
      </c>
      <c r="K86" s="8">
        <v>-1.9457615494704594</v>
      </c>
      <c r="L86" s="8">
        <v>0.57999999999999996</v>
      </c>
      <c r="M86" s="139"/>
      <c r="N86" s="61" t="s">
        <v>126</v>
      </c>
      <c r="O86" s="61" t="s">
        <v>127</v>
      </c>
      <c r="W86" s="100">
        <f>E86--36.631</f>
        <v>1.0597059000005515E-2</v>
      </c>
      <c r="X86" s="100">
        <f>G86--59.121</f>
        <v>5.6452740000025869E-3</v>
      </c>
    </row>
    <row r="87" spans="1:24" x14ac:dyDescent="0.2">
      <c r="A87" s="56">
        <v>1409</v>
      </c>
      <c r="B87" s="61" t="s">
        <v>155</v>
      </c>
      <c r="C87" s="5">
        <v>41037</v>
      </c>
      <c r="D87" s="139" t="s">
        <v>156</v>
      </c>
      <c r="E87" s="8">
        <v>-36.605952406</v>
      </c>
      <c r="F87" s="8">
        <v>5.0000000000000001E-3</v>
      </c>
      <c r="G87" s="8">
        <v>-58.894248161</v>
      </c>
      <c r="H87" s="8">
        <v>1.2999999999999999E-2</v>
      </c>
      <c r="I87" s="8">
        <v>0.22602375992852863</v>
      </c>
      <c r="J87" s="8">
        <v>0.124</v>
      </c>
      <c r="K87" s="8">
        <v>-0.28749292563290396</v>
      </c>
      <c r="L87" s="8">
        <v>0.54</v>
      </c>
      <c r="M87" s="139"/>
      <c r="N87" s="61" t="s">
        <v>126</v>
      </c>
      <c r="O87" s="61" t="s">
        <v>127</v>
      </c>
      <c r="W87" s="100">
        <f>E87--36.631</f>
        <v>2.5047594000000117E-2</v>
      </c>
      <c r="X87" s="100">
        <f>G87--59.121</f>
        <v>0.22675183900000206</v>
      </c>
    </row>
    <row r="88" spans="1:24" x14ac:dyDescent="0.2">
      <c r="A88" s="56">
        <v>1412</v>
      </c>
      <c r="B88" s="61" t="s">
        <v>157</v>
      </c>
      <c r="C88" s="5">
        <v>41039</v>
      </c>
      <c r="D88" s="139" t="s">
        <v>163</v>
      </c>
      <c r="E88" s="8">
        <v>-34.425848359</v>
      </c>
      <c r="F88" s="8">
        <v>5.0000000000000001E-3</v>
      </c>
      <c r="G88" s="8">
        <v>-419.61314357599997</v>
      </c>
      <c r="H88" s="8">
        <v>1.4999999999999999E-2</v>
      </c>
      <c r="I88" s="8">
        <v>7.225750904055861</v>
      </c>
      <c r="J88" s="8">
        <v>0.14599999999999999</v>
      </c>
      <c r="K88" s="8">
        <v>4.0382460540264731</v>
      </c>
      <c r="L88" s="8">
        <v>0.30199999999999999</v>
      </c>
      <c r="M88" s="139"/>
      <c r="N88" s="61" t="s">
        <v>126</v>
      </c>
      <c r="O88" s="61" t="s">
        <v>127</v>
      </c>
    </row>
    <row r="89" spans="1:24" x14ac:dyDescent="0.2">
      <c r="A89" s="56">
        <v>1414</v>
      </c>
      <c r="B89" s="61" t="s">
        <v>158</v>
      </c>
      <c r="C89" s="5">
        <v>41041</v>
      </c>
      <c r="D89" s="139" t="s">
        <v>172</v>
      </c>
      <c r="E89" s="8">
        <v>-53.221177549000004</v>
      </c>
      <c r="F89" s="8">
        <v>7.0000000000000001E-3</v>
      </c>
      <c r="G89" s="8">
        <v>-390.90222089100001</v>
      </c>
      <c r="H89" s="8">
        <v>1.4999999999999999E-2</v>
      </c>
      <c r="I89" s="8">
        <v>2.830449354454645</v>
      </c>
      <c r="J89" s="8">
        <v>0.219</v>
      </c>
      <c r="K89" s="8">
        <v>-17.343109432007786</v>
      </c>
      <c r="L89" s="8">
        <v>0.33700000000000002</v>
      </c>
      <c r="M89" s="139"/>
      <c r="N89" s="61" t="s">
        <v>159</v>
      </c>
      <c r="O89" s="61" t="s">
        <v>127</v>
      </c>
    </row>
    <row r="90" spans="1:24" x14ac:dyDescent="0.2">
      <c r="A90" s="56">
        <v>1417</v>
      </c>
      <c r="B90" s="61" t="s">
        <v>160</v>
      </c>
      <c r="C90" s="5">
        <v>41044</v>
      </c>
      <c r="D90" s="139" t="s">
        <v>164</v>
      </c>
      <c r="E90" s="8">
        <v>-32.709124801000002</v>
      </c>
      <c r="F90" s="8">
        <v>5.0000000000000001E-3</v>
      </c>
      <c r="G90" s="8">
        <v>-420.74972540799996</v>
      </c>
      <c r="H90" s="8">
        <v>0.02</v>
      </c>
      <c r="I90" s="8">
        <v>5.1947095503985796</v>
      </c>
      <c r="J90" s="8">
        <v>0.129</v>
      </c>
      <c r="K90" s="8">
        <v>-6.3399269249310164</v>
      </c>
      <c r="L90" s="8">
        <v>0.311</v>
      </c>
      <c r="M90" s="139"/>
      <c r="N90" s="61" t="s">
        <v>126</v>
      </c>
      <c r="O90" s="61" t="s">
        <v>127</v>
      </c>
    </row>
    <row r="91" spans="1:24" x14ac:dyDescent="0.2">
      <c r="A91" s="56">
        <v>1419</v>
      </c>
      <c r="B91" s="61" t="s">
        <v>161</v>
      </c>
      <c r="C91" s="5">
        <v>41045</v>
      </c>
      <c r="D91" s="139" t="s">
        <v>163</v>
      </c>
      <c r="E91" s="8">
        <v>-34.299647020000002</v>
      </c>
      <c r="F91" s="8">
        <v>5.0000000000000001E-3</v>
      </c>
      <c r="G91" s="8">
        <v>-419.85400859999993</v>
      </c>
      <c r="H91" s="8">
        <v>0.02</v>
      </c>
      <c r="I91" s="8">
        <v>5.3701748347552147</v>
      </c>
      <c r="J91" s="8">
        <v>0.106</v>
      </c>
      <c r="K91" s="8">
        <v>4.0469351056859892</v>
      </c>
      <c r="L91" s="8">
        <v>0.32700000000000001</v>
      </c>
      <c r="M91" s="139"/>
      <c r="N91" s="61" t="s">
        <v>126</v>
      </c>
      <c r="O91" s="61" t="s">
        <v>127</v>
      </c>
    </row>
    <row r="92" spans="1:24" x14ac:dyDescent="0.2">
      <c r="A92" s="56">
        <v>1421</v>
      </c>
      <c r="B92" s="61" t="s">
        <v>162</v>
      </c>
      <c r="C92" s="5">
        <v>41047</v>
      </c>
      <c r="D92" s="139" t="s">
        <v>171</v>
      </c>
      <c r="E92" s="8">
        <v>-41.598130564000002</v>
      </c>
      <c r="F92" s="8">
        <v>3.0000000000000001E-3</v>
      </c>
      <c r="G92" s="8">
        <v>-391.32749819899999</v>
      </c>
      <c r="H92" s="8">
        <v>1.7999999999999999E-2</v>
      </c>
      <c r="I92" s="8">
        <v>4.5867033809907642</v>
      </c>
      <c r="J92" s="8">
        <v>0.113</v>
      </c>
      <c r="K92" s="8">
        <v>13.506058317788172</v>
      </c>
      <c r="L92" s="8">
        <v>0.314</v>
      </c>
      <c r="M92" s="139"/>
      <c r="N92" s="61" t="s">
        <v>126</v>
      </c>
      <c r="O92" s="61" t="s">
        <v>127</v>
      </c>
    </row>
    <row r="93" spans="1:24" x14ac:dyDescent="0.2">
      <c r="A93" s="56">
        <v>1423</v>
      </c>
      <c r="B93" s="61" t="s">
        <v>165</v>
      </c>
      <c r="C93" s="5">
        <v>41053</v>
      </c>
      <c r="D93" s="139" t="s">
        <v>166</v>
      </c>
      <c r="E93" s="8">
        <v>-31.784290561000002</v>
      </c>
      <c r="F93" s="8">
        <v>4.0000000000000001E-3</v>
      </c>
      <c r="G93" s="8">
        <v>-420.01395802999997</v>
      </c>
      <c r="H93" s="8">
        <v>1.9E-2</v>
      </c>
      <c r="I93" s="8">
        <v>5.2865361997653793</v>
      </c>
      <c r="J93" s="8">
        <v>0.113</v>
      </c>
      <c r="K93" s="8">
        <v>-8.4518648438876021</v>
      </c>
      <c r="L93" s="8">
        <v>0.312</v>
      </c>
      <c r="M93" s="139"/>
      <c r="N93" s="61" t="s">
        <v>126</v>
      </c>
      <c r="O93" s="61" t="s">
        <v>139</v>
      </c>
    </row>
    <row r="94" spans="1:24" s="30" customFormat="1" x14ac:dyDescent="0.2">
      <c r="A94" s="57">
        <v>1429</v>
      </c>
      <c r="B94" s="69" t="s">
        <v>167</v>
      </c>
      <c r="C94" s="28">
        <v>41062</v>
      </c>
      <c r="D94" s="140" t="s">
        <v>168</v>
      </c>
      <c r="E94" s="29">
        <v>-36.174363094</v>
      </c>
      <c r="F94" s="29">
        <v>4.0000000000000001E-3</v>
      </c>
      <c r="G94" s="29">
        <v>18.838352182000001</v>
      </c>
      <c r="H94" s="29">
        <v>1.7999999999999999E-2</v>
      </c>
      <c r="I94" s="29">
        <v>1.0492610667183211</v>
      </c>
      <c r="J94" s="29">
        <v>0.33</v>
      </c>
      <c r="K94" s="29">
        <v>4.9509423259097574E-2</v>
      </c>
      <c r="L94" s="29">
        <v>0.61599999999999999</v>
      </c>
      <c r="M94" s="140"/>
      <c r="N94" s="69" t="s">
        <v>126</v>
      </c>
      <c r="O94" s="69" t="s">
        <v>127</v>
      </c>
      <c r="P94" s="187"/>
      <c r="Q94" s="187"/>
      <c r="R94" s="187"/>
      <c r="S94" s="187"/>
      <c r="T94" s="187"/>
      <c r="U94" s="187"/>
      <c r="V94" s="174"/>
      <c r="W94" s="121"/>
      <c r="X94" s="121"/>
    </row>
    <row r="95" spans="1:24" x14ac:dyDescent="0.2">
      <c r="A95" s="56">
        <v>1431</v>
      </c>
      <c r="B95" s="61" t="s">
        <v>169</v>
      </c>
      <c r="C95" s="5">
        <v>41062</v>
      </c>
      <c r="D95" s="139" t="s">
        <v>166</v>
      </c>
      <c r="E95" s="8">
        <v>-32.414333886999998</v>
      </c>
      <c r="F95" s="8">
        <v>3.0000000000000001E-3</v>
      </c>
      <c r="G95" s="8">
        <v>-416.64655208899995</v>
      </c>
      <c r="H95" s="8">
        <v>1.6E-2</v>
      </c>
      <c r="I95" s="8">
        <v>1.6245648241832722</v>
      </c>
      <c r="J95" s="8">
        <v>0.16600000000000001</v>
      </c>
      <c r="K95" s="8">
        <v>-1.7602361236180863</v>
      </c>
      <c r="L95" s="8">
        <v>0.29699999999999999</v>
      </c>
      <c r="M95" s="139" t="s">
        <v>515</v>
      </c>
      <c r="N95" s="61" t="s">
        <v>126</v>
      </c>
      <c r="O95" s="61" t="s">
        <v>127</v>
      </c>
    </row>
    <row r="96" spans="1:24" x14ac:dyDescent="0.2">
      <c r="A96" s="56">
        <v>1433</v>
      </c>
      <c r="B96" s="61" t="s">
        <v>170</v>
      </c>
      <c r="C96" s="5">
        <v>41064</v>
      </c>
      <c r="D96" s="139" t="s">
        <v>171</v>
      </c>
      <c r="E96" s="8">
        <v>-41.858240194000004</v>
      </c>
      <c r="F96" s="8">
        <v>3.0000000000000001E-3</v>
      </c>
      <c r="G96" s="8">
        <v>-391.53637333699999</v>
      </c>
      <c r="H96" s="8">
        <v>1.7000000000000001E-2</v>
      </c>
      <c r="I96" s="8">
        <v>5.0255758831267983</v>
      </c>
      <c r="J96" s="8">
        <v>0.115</v>
      </c>
      <c r="K96" s="8">
        <v>14.025223229842787</v>
      </c>
      <c r="L96" s="8">
        <v>0.31900000000000001</v>
      </c>
      <c r="M96" s="139"/>
      <c r="N96" s="61" t="s">
        <v>126</v>
      </c>
      <c r="O96" s="61" t="s">
        <v>127</v>
      </c>
    </row>
    <row r="97" spans="1:22" x14ac:dyDescent="0.2">
      <c r="A97" s="56">
        <v>1455</v>
      </c>
      <c r="B97" s="61" t="s">
        <v>196</v>
      </c>
      <c r="C97" s="5">
        <v>41077</v>
      </c>
      <c r="D97" s="139" t="s">
        <v>200</v>
      </c>
      <c r="E97" s="8">
        <v>-43.095205990000004</v>
      </c>
      <c r="F97" s="8">
        <v>1.2E-2</v>
      </c>
      <c r="G97" s="8">
        <v>-417.80289238</v>
      </c>
      <c r="H97" s="8">
        <v>4.1000000000000002E-2</v>
      </c>
      <c r="I97" s="8">
        <v>3.0773952989233688</v>
      </c>
      <c r="J97" s="8">
        <v>0.16700000000000001</v>
      </c>
      <c r="K97" s="8">
        <v>-53.694962442362936</v>
      </c>
      <c r="L97" s="8">
        <v>0.54100000000000004</v>
      </c>
      <c r="M97" s="139" t="s">
        <v>198</v>
      </c>
      <c r="N97" s="61" t="s">
        <v>191</v>
      </c>
      <c r="O97" s="61" t="s">
        <v>197</v>
      </c>
    </row>
    <row r="98" spans="1:22" x14ac:dyDescent="0.2">
      <c r="A98" s="56">
        <v>1459</v>
      </c>
      <c r="B98" s="61" t="s">
        <v>201</v>
      </c>
      <c r="C98" s="5">
        <v>41092</v>
      </c>
      <c r="D98" s="139" t="s">
        <v>202</v>
      </c>
      <c r="E98" s="8">
        <v>-53.702862049000004</v>
      </c>
      <c r="F98" s="8">
        <v>4.0000000000000001E-3</v>
      </c>
      <c r="G98" s="8">
        <v>-250.103442057</v>
      </c>
      <c r="H98" s="8">
        <v>1.0999999999999999E-2</v>
      </c>
      <c r="I98" s="8">
        <v>-2.3729573454246422</v>
      </c>
      <c r="J98" s="8">
        <v>1.0999999999999999E-2</v>
      </c>
      <c r="K98" s="8">
        <v>-54.488194502928408</v>
      </c>
      <c r="L98" s="8">
        <v>0.35599999999999998</v>
      </c>
      <c r="M98" s="139"/>
      <c r="N98" s="61" t="s">
        <v>126</v>
      </c>
      <c r="O98" s="61" t="s">
        <v>127</v>
      </c>
    </row>
    <row r="99" spans="1:22" x14ac:dyDescent="0.2">
      <c r="A99" s="56">
        <v>1461</v>
      </c>
      <c r="B99" s="61" t="s">
        <v>204</v>
      </c>
      <c r="C99" s="5">
        <v>41092</v>
      </c>
      <c r="D99" s="139" t="s">
        <v>203</v>
      </c>
      <c r="E99" s="8">
        <v>-53.356049209000005</v>
      </c>
      <c r="F99" s="8">
        <v>5.0000000000000001E-3</v>
      </c>
      <c r="G99" s="8">
        <v>-249.87857197600002</v>
      </c>
      <c r="H99" s="8">
        <v>1.2999999999999999E-2</v>
      </c>
      <c r="I99" s="8">
        <v>-2.2613169269624089</v>
      </c>
      <c r="J99" s="8">
        <v>1.2999999999999999E-2</v>
      </c>
      <c r="K99" s="8">
        <v>-55.339520766290008</v>
      </c>
      <c r="L99" s="8">
        <v>0.34200000000000003</v>
      </c>
      <c r="M99" s="139"/>
      <c r="N99" s="61" t="s">
        <v>126</v>
      </c>
      <c r="O99" s="61" t="s">
        <v>139</v>
      </c>
    </row>
    <row r="100" spans="1:22" x14ac:dyDescent="0.2">
      <c r="A100" s="56">
        <v>1463</v>
      </c>
      <c r="B100" s="61">
        <v>106</v>
      </c>
      <c r="C100" s="5">
        <v>41092</v>
      </c>
      <c r="D100" s="139" t="s">
        <v>205</v>
      </c>
      <c r="E100" s="8">
        <v>-23.977148185000001</v>
      </c>
      <c r="F100" s="8">
        <v>0.01</v>
      </c>
      <c r="G100" s="8">
        <v>-282.63245172400002</v>
      </c>
      <c r="H100" s="8">
        <v>0.06</v>
      </c>
      <c r="I100" s="8">
        <v>3.314861266527469</v>
      </c>
      <c r="J100" s="8">
        <v>0.38249838730811819</v>
      </c>
      <c r="K100" s="8">
        <v>-7.5718972687293107</v>
      </c>
      <c r="L100" s="8">
        <v>1.5643829007572645</v>
      </c>
      <c r="M100" s="139" t="s">
        <v>830</v>
      </c>
      <c r="N100" s="61">
        <v>7</v>
      </c>
      <c r="O100" s="61">
        <v>15</v>
      </c>
    </row>
    <row r="101" spans="1:22" x14ac:dyDescent="0.2">
      <c r="A101" s="56">
        <v>1465</v>
      </c>
      <c r="B101" s="61" t="s">
        <v>207</v>
      </c>
      <c r="C101" s="25">
        <v>41101</v>
      </c>
      <c r="D101" s="139" t="s">
        <v>208</v>
      </c>
      <c r="E101" s="8">
        <v>-9.477481366000001</v>
      </c>
      <c r="F101" s="8">
        <v>5.0000000000000001E-3</v>
      </c>
      <c r="G101" s="8">
        <v>-251.56274538599996</v>
      </c>
      <c r="H101" s="8">
        <v>1.6E-2</v>
      </c>
      <c r="I101" s="8">
        <v>1.8587535073835149</v>
      </c>
      <c r="J101" s="8">
        <v>1.2999999999999999E-2</v>
      </c>
      <c r="K101" s="8">
        <v>15.801503811746276</v>
      </c>
      <c r="L101" s="8">
        <v>0.34200000000000003</v>
      </c>
      <c r="M101" s="139"/>
      <c r="N101" s="61" t="s">
        <v>126</v>
      </c>
      <c r="O101" s="61" t="s">
        <v>127</v>
      </c>
    </row>
    <row r="102" spans="1:22" x14ac:dyDescent="0.2">
      <c r="A102" s="56">
        <v>1467</v>
      </c>
      <c r="B102" s="61" t="s">
        <v>209</v>
      </c>
      <c r="C102" s="25">
        <v>41102</v>
      </c>
      <c r="D102" s="139" t="s">
        <v>210</v>
      </c>
      <c r="E102" s="8">
        <v>-9.0613059580000019</v>
      </c>
      <c r="F102" s="8">
        <v>4.0000000000000001E-3</v>
      </c>
      <c r="G102" s="8">
        <v>-252.90067532399999</v>
      </c>
      <c r="H102" s="8">
        <v>1.4999999999999999E-2</v>
      </c>
      <c r="I102" s="8">
        <v>2.4245618585316819</v>
      </c>
      <c r="J102" s="8">
        <v>1.2999999999999999E-2</v>
      </c>
      <c r="K102" s="8">
        <v>15.039151885149371</v>
      </c>
      <c r="L102" s="8">
        <v>0.34200000000000003</v>
      </c>
      <c r="M102" s="139"/>
      <c r="N102" s="61" t="s">
        <v>126</v>
      </c>
      <c r="O102" s="61" t="s">
        <v>127</v>
      </c>
    </row>
    <row r="103" spans="1:22" x14ac:dyDescent="0.2">
      <c r="A103" s="56">
        <v>1469</v>
      </c>
      <c r="B103" s="61" t="s">
        <v>211</v>
      </c>
      <c r="C103" s="25">
        <v>41104</v>
      </c>
      <c r="D103" s="139" t="s">
        <v>470</v>
      </c>
      <c r="E103" s="8">
        <v>-74.633980312000006</v>
      </c>
      <c r="F103" s="8">
        <v>6.0000000000000001E-3</v>
      </c>
      <c r="G103" s="8">
        <v>-238.279415664</v>
      </c>
      <c r="H103" s="8">
        <v>0.03</v>
      </c>
      <c r="I103" s="8">
        <v>5.8622425852150606</v>
      </c>
      <c r="J103" s="8">
        <v>0.21299999999999999</v>
      </c>
      <c r="K103" s="8">
        <v>16.723023533399719</v>
      </c>
      <c r="L103" s="8">
        <v>0.61499999999999999</v>
      </c>
      <c r="M103" s="139" t="s">
        <v>215</v>
      </c>
      <c r="N103" s="61" t="s">
        <v>133</v>
      </c>
      <c r="O103" s="61" t="s">
        <v>212</v>
      </c>
    </row>
    <row r="104" spans="1:22" x14ac:dyDescent="0.2">
      <c r="A104" s="56">
        <v>1471</v>
      </c>
      <c r="B104" s="61" t="s">
        <v>213</v>
      </c>
      <c r="C104" s="25">
        <v>41105</v>
      </c>
      <c r="D104" s="139" t="s">
        <v>469</v>
      </c>
      <c r="E104" s="8">
        <v>-72.105136687000012</v>
      </c>
      <c r="F104" s="8">
        <v>6.0000000000000001E-3</v>
      </c>
      <c r="G104" s="8">
        <v>-239.94759413099999</v>
      </c>
      <c r="H104" s="8">
        <v>2.9000000000000001E-2</v>
      </c>
      <c r="I104" s="8">
        <v>5.0539654185870475</v>
      </c>
      <c r="J104" s="8">
        <v>0.215</v>
      </c>
      <c r="K104" s="8">
        <v>14.478440837931705</v>
      </c>
      <c r="L104" s="8">
        <v>0.69</v>
      </c>
      <c r="M104" s="139" t="s">
        <v>216</v>
      </c>
      <c r="N104" s="61" t="s">
        <v>133</v>
      </c>
      <c r="O104" s="61" t="s">
        <v>214</v>
      </c>
    </row>
    <row r="105" spans="1:22" x14ac:dyDescent="0.2">
      <c r="A105" s="56">
        <v>1473</v>
      </c>
      <c r="B105" s="61" t="s">
        <v>217</v>
      </c>
      <c r="C105" s="25">
        <v>41107</v>
      </c>
      <c r="D105" s="139" t="s">
        <v>468</v>
      </c>
      <c r="E105" s="8">
        <v>-71.813235880000008</v>
      </c>
      <c r="F105" s="8">
        <v>5.0000000000000001E-3</v>
      </c>
      <c r="G105" s="8">
        <v>-238.59555100800003</v>
      </c>
      <c r="H105" s="8">
        <v>3.4000000000000002E-2</v>
      </c>
      <c r="I105" s="8">
        <v>5.3457162490404553</v>
      </c>
      <c r="J105" s="8">
        <v>0.25800000000000001</v>
      </c>
      <c r="K105" s="8">
        <v>11.417350512093138</v>
      </c>
      <c r="L105" s="8">
        <v>0.88200000000000001</v>
      </c>
      <c r="M105" s="139" t="s">
        <v>218</v>
      </c>
      <c r="N105" s="61" t="s">
        <v>219</v>
      </c>
      <c r="O105" s="61" t="s">
        <v>212</v>
      </c>
    </row>
    <row r="106" spans="1:22" x14ac:dyDescent="0.2">
      <c r="A106" s="62">
        <v>1475</v>
      </c>
      <c r="B106" s="74" t="s">
        <v>220</v>
      </c>
      <c r="C106" s="26">
        <v>41108</v>
      </c>
      <c r="D106" s="146" t="s">
        <v>222</v>
      </c>
      <c r="E106" s="27">
        <v>-36.664717914999997</v>
      </c>
      <c r="F106" s="27">
        <v>5.0000000000000001E-3</v>
      </c>
      <c r="G106" s="27">
        <v>-58.924356289000002</v>
      </c>
      <c r="H106" s="27">
        <v>2.9000000000000001E-2</v>
      </c>
      <c r="I106" s="27">
        <v>0.19106456322659504</v>
      </c>
      <c r="J106" s="27">
        <v>0.39100000000000001</v>
      </c>
      <c r="K106" s="27">
        <v>-4.1975211831501991</v>
      </c>
      <c r="L106" s="27">
        <v>0.86</v>
      </c>
      <c r="M106" s="146" t="s">
        <v>221</v>
      </c>
      <c r="N106" s="74" t="s">
        <v>133</v>
      </c>
      <c r="O106" s="74" t="s">
        <v>214</v>
      </c>
      <c r="V106" s="160" t="s">
        <v>252</v>
      </c>
    </row>
    <row r="107" spans="1:22" x14ac:dyDescent="0.2">
      <c r="A107" s="56">
        <v>1477</v>
      </c>
      <c r="B107" s="61" t="s">
        <v>223</v>
      </c>
      <c r="C107" s="25">
        <v>41109</v>
      </c>
      <c r="D107" s="139" t="s">
        <v>222</v>
      </c>
      <c r="E107" s="8">
        <v>-36.736970589999999</v>
      </c>
      <c r="F107" s="8">
        <v>5.0000000000000001E-3</v>
      </c>
      <c r="G107" s="8">
        <v>-58.975163755000004</v>
      </c>
      <c r="H107" s="8">
        <v>2.5999999999999999E-2</v>
      </c>
      <c r="I107" s="8">
        <v>0.21509796178542651</v>
      </c>
      <c r="J107" s="8">
        <v>0.26400000000000001</v>
      </c>
      <c r="K107" s="8">
        <v>-0.80177201245390517</v>
      </c>
      <c r="L107" s="8">
        <v>0.85199999999999998</v>
      </c>
      <c r="M107" s="139" t="s">
        <v>224</v>
      </c>
      <c r="N107" s="61" t="s">
        <v>133</v>
      </c>
      <c r="O107" s="61" t="s">
        <v>212</v>
      </c>
    </row>
    <row r="108" spans="1:22" x14ac:dyDescent="0.2">
      <c r="A108" s="56">
        <v>1479</v>
      </c>
      <c r="B108" s="61" t="s">
        <v>226</v>
      </c>
      <c r="C108" s="25">
        <v>41110</v>
      </c>
      <c r="D108" s="139" t="s">
        <v>467</v>
      </c>
      <c r="E108" s="8">
        <v>-71.87007465100001</v>
      </c>
      <c r="F108" s="8">
        <v>5.0000000000000001E-3</v>
      </c>
      <c r="G108" s="8">
        <v>-239.336022781</v>
      </c>
      <c r="H108" s="8">
        <v>0.02</v>
      </c>
      <c r="I108" s="8">
        <v>5.737642586487901</v>
      </c>
      <c r="J108" s="8">
        <v>0.22700000000000001</v>
      </c>
      <c r="K108" s="8">
        <v>15.12708607461466</v>
      </c>
      <c r="L108" s="8">
        <v>0.48499999999999999</v>
      </c>
      <c r="M108" s="139" t="s">
        <v>225</v>
      </c>
      <c r="N108" s="61" t="s">
        <v>133</v>
      </c>
      <c r="O108" s="61" t="s">
        <v>227</v>
      </c>
    </row>
    <row r="109" spans="1:22" x14ac:dyDescent="0.2">
      <c r="A109" s="56">
        <v>1481</v>
      </c>
      <c r="B109" s="61" t="s">
        <v>228</v>
      </c>
      <c r="C109" s="25">
        <v>41111</v>
      </c>
      <c r="D109" s="139" t="s">
        <v>466</v>
      </c>
      <c r="E109" s="8">
        <v>-72.535762630000008</v>
      </c>
      <c r="F109" s="8">
        <v>5.0000000000000001E-3</v>
      </c>
      <c r="G109" s="8">
        <v>-239.913722487</v>
      </c>
      <c r="H109" s="8">
        <v>2.5000000000000001E-2</v>
      </c>
      <c r="I109" s="8">
        <v>4.9962125374545252</v>
      </c>
      <c r="J109" s="8">
        <v>0.254</v>
      </c>
      <c r="K109" s="8">
        <v>11.785316210484398</v>
      </c>
      <c r="L109" s="8">
        <v>0.625</v>
      </c>
      <c r="M109" s="139" t="s">
        <v>225</v>
      </c>
      <c r="N109" s="61" t="s">
        <v>133</v>
      </c>
      <c r="O109" s="61" t="s">
        <v>229</v>
      </c>
    </row>
    <row r="110" spans="1:22" x14ac:dyDescent="0.2">
      <c r="A110" s="56">
        <v>1483</v>
      </c>
      <c r="B110" s="61" t="s">
        <v>230</v>
      </c>
      <c r="C110" s="25">
        <v>41114</v>
      </c>
      <c r="D110" s="139" t="s">
        <v>465</v>
      </c>
      <c r="E110" s="8">
        <v>-74.060775757000002</v>
      </c>
      <c r="F110" s="8">
        <v>6.0000000000000001E-3</v>
      </c>
      <c r="G110" s="8">
        <v>-242.452214029</v>
      </c>
      <c r="H110" s="8">
        <v>2.4E-2</v>
      </c>
      <c r="I110" s="8">
        <v>5.0974511697394753</v>
      </c>
      <c r="J110" s="8">
        <v>0.26500000000000001</v>
      </c>
      <c r="K110" s="8">
        <v>8.5237308974563941</v>
      </c>
      <c r="L110" s="8">
        <v>0.72</v>
      </c>
      <c r="M110" s="139" t="s">
        <v>225</v>
      </c>
      <c r="N110" s="61" t="s">
        <v>133</v>
      </c>
      <c r="O110" s="61" t="s">
        <v>130</v>
      </c>
    </row>
    <row r="111" spans="1:22" x14ac:dyDescent="0.2">
      <c r="A111" s="56">
        <v>1485</v>
      </c>
      <c r="B111" s="61" t="s">
        <v>232</v>
      </c>
      <c r="C111" s="5">
        <v>41115</v>
      </c>
      <c r="D111" s="139" t="s">
        <v>233</v>
      </c>
      <c r="E111" s="8">
        <v>-1.8736098489999997</v>
      </c>
      <c r="F111" s="8">
        <v>4.1000000000000002E-2</v>
      </c>
      <c r="G111" s="8">
        <v>-107.51134784899999</v>
      </c>
      <c r="H111" s="8">
        <v>0.28999999999999998</v>
      </c>
      <c r="I111" s="8">
        <v>3.3340535282724293</v>
      </c>
      <c r="J111" s="8">
        <v>1.468</v>
      </c>
      <c r="K111" s="8">
        <v>-4.990714314388911</v>
      </c>
      <c r="L111" s="8">
        <v>6.4790000000000001</v>
      </c>
      <c r="M111" s="139" t="s">
        <v>231</v>
      </c>
      <c r="N111" s="61" t="s">
        <v>188</v>
      </c>
      <c r="O111" s="61" t="s">
        <v>188</v>
      </c>
    </row>
    <row r="112" spans="1:22" x14ac:dyDescent="0.2">
      <c r="A112" s="56">
        <v>1487</v>
      </c>
      <c r="B112" s="61" t="s">
        <v>235</v>
      </c>
      <c r="C112" s="25">
        <v>41115</v>
      </c>
      <c r="D112" s="139" t="s">
        <v>464</v>
      </c>
      <c r="E112" s="8">
        <v>-76.160920177000008</v>
      </c>
      <c r="F112" s="8">
        <v>3.0000000000000001E-3</v>
      </c>
      <c r="G112" s="8">
        <v>-244.03100899099999</v>
      </c>
      <c r="H112" s="8">
        <v>2.3E-2</v>
      </c>
      <c r="I112" s="8">
        <v>4.7619874500925974</v>
      </c>
      <c r="J112" s="8">
        <v>0.16400000000000001</v>
      </c>
      <c r="K112" s="8">
        <v>7.8791948583449845</v>
      </c>
      <c r="L112" s="8">
        <v>0.52400000000000002</v>
      </c>
      <c r="M112" s="139" t="s">
        <v>234</v>
      </c>
      <c r="N112" s="61" t="s">
        <v>236</v>
      </c>
      <c r="O112" s="61" t="s">
        <v>237</v>
      </c>
    </row>
    <row r="113" spans="1:24" x14ac:dyDescent="0.2">
      <c r="A113" s="56">
        <v>1489</v>
      </c>
      <c r="B113" s="61" t="s">
        <v>238</v>
      </c>
      <c r="C113" s="25">
        <v>41117</v>
      </c>
      <c r="D113" s="139" t="s">
        <v>222</v>
      </c>
      <c r="E113" s="8">
        <v>-36.709996258000004</v>
      </c>
      <c r="F113" s="8">
        <v>4.0000000000000001E-3</v>
      </c>
      <c r="G113" s="8">
        <v>-59.029734736999998</v>
      </c>
      <c r="H113" s="8">
        <v>2.5999999999999999E-2</v>
      </c>
      <c r="I113" s="8">
        <v>-0.31589621249583644</v>
      </c>
      <c r="J113" s="8">
        <v>0.20599999999999999</v>
      </c>
      <c r="K113" s="8">
        <v>-0.47409200405057472</v>
      </c>
      <c r="L113" s="8">
        <v>0.83399999999999996</v>
      </c>
      <c r="M113" s="139" t="s">
        <v>215</v>
      </c>
      <c r="N113" s="61" t="s">
        <v>133</v>
      </c>
      <c r="O113" s="61" t="s">
        <v>229</v>
      </c>
    </row>
    <row r="114" spans="1:24" x14ac:dyDescent="0.2">
      <c r="A114" s="56">
        <v>1491</v>
      </c>
      <c r="B114" s="61" t="s">
        <v>239</v>
      </c>
      <c r="C114" s="25">
        <v>41118</v>
      </c>
      <c r="D114" s="139" t="s">
        <v>222</v>
      </c>
      <c r="E114" s="8">
        <v>-36.733117114000002</v>
      </c>
      <c r="F114" s="8">
        <v>4.0000000000000001E-3</v>
      </c>
      <c r="G114" s="8">
        <v>-59.074896929000005</v>
      </c>
      <c r="H114" s="8">
        <v>3.2000000000000001E-2</v>
      </c>
      <c r="I114" s="8">
        <v>0.26611099760343038</v>
      </c>
      <c r="J114" s="8">
        <v>0.34300000000000003</v>
      </c>
      <c r="K114" s="8">
        <v>-1.3412360550238978</v>
      </c>
      <c r="L114" s="8">
        <v>0.96699999999999997</v>
      </c>
      <c r="M114" s="139" t="s">
        <v>225</v>
      </c>
      <c r="N114" s="61" t="s">
        <v>133</v>
      </c>
      <c r="O114" s="61" t="s">
        <v>212</v>
      </c>
    </row>
    <row r="115" spans="1:24" x14ac:dyDescent="0.2">
      <c r="A115" s="56">
        <v>1493</v>
      </c>
      <c r="B115" s="61" t="s">
        <v>240</v>
      </c>
      <c r="C115" s="25">
        <v>41119</v>
      </c>
      <c r="D115" s="139" t="s">
        <v>463</v>
      </c>
      <c r="E115" s="8">
        <v>-72.333455139999998</v>
      </c>
      <c r="F115" s="8">
        <v>5.0000000000000001E-3</v>
      </c>
      <c r="G115" s="8">
        <v>-239.20524060000002</v>
      </c>
      <c r="H115" s="8">
        <v>3.2000000000000001E-2</v>
      </c>
      <c r="I115" s="8">
        <v>5.359396235758318</v>
      </c>
      <c r="J115" s="8">
        <v>0.23699999999999999</v>
      </c>
      <c r="K115" s="8">
        <v>16.697475160614594</v>
      </c>
      <c r="L115" s="8">
        <v>0.80600000000000005</v>
      </c>
      <c r="M115" s="139" t="s">
        <v>215</v>
      </c>
      <c r="N115" s="61" t="s">
        <v>133</v>
      </c>
      <c r="O115" s="61" t="s">
        <v>126</v>
      </c>
    </row>
    <row r="116" spans="1:24" x14ac:dyDescent="0.2">
      <c r="A116" s="56">
        <v>1495</v>
      </c>
      <c r="B116" s="61" t="s">
        <v>241</v>
      </c>
      <c r="C116" s="25">
        <v>41120</v>
      </c>
      <c r="D116" s="139" t="s">
        <v>462</v>
      </c>
      <c r="E116" s="8">
        <v>-72.887392314999985</v>
      </c>
      <c r="F116" s="8">
        <v>5.0000000000000001E-3</v>
      </c>
      <c r="G116" s="8">
        <v>-238.91450898900001</v>
      </c>
      <c r="H116" s="8">
        <v>3.3000000000000002E-2</v>
      </c>
      <c r="I116" s="8">
        <v>5.8969563094559696</v>
      </c>
      <c r="J116" s="8">
        <v>0.26400000000000001</v>
      </c>
      <c r="K116" s="8">
        <v>17.43106664474503</v>
      </c>
      <c r="L116" s="8">
        <v>0.85899999999999999</v>
      </c>
      <c r="M116" s="139" t="s">
        <v>215</v>
      </c>
      <c r="N116" s="61" t="s">
        <v>133</v>
      </c>
      <c r="O116" s="61" t="s">
        <v>242</v>
      </c>
    </row>
    <row r="117" spans="1:24" x14ac:dyDescent="0.2">
      <c r="A117" s="56">
        <v>1497</v>
      </c>
      <c r="B117" s="61" t="s">
        <v>243</v>
      </c>
      <c r="C117" s="25">
        <v>41121</v>
      </c>
      <c r="D117" s="139" t="s">
        <v>461</v>
      </c>
      <c r="E117" s="8">
        <v>-74.033801425000007</v>
      </c>
      <c r="F117" s="8">
        <v>4.0000000000000001E-3</v>
      </c>
      <c r="G117" s="8">
        <v>-238.36974004800001</v>
      </c>
      <c r="H117" s="8">
        <v>2.5000000000000001E-2</v>
      </c>
      <c r="I117" s="8">
        <v>5.0390233591053324</v>
      </c>
      <c r="J117" s="8">
        <v>0.17699999999999999</v>
      </c>
      <c r="K117" s="8">
        <v>16.209412751140519</v>
      </c>
      <c r="L117" s="8">
        <v>0.57299999999999995</v>
      </c>
      <c r="M117" s="139" t="s">
        <v>225</v>
      </c>
      <c r="N117" s="61" t="s">
        <v>133</v>
      </c>
      <c r="O117" s="61" t="s">
        <v>244</v>
      </c>
    </row>
    <row r="118" spans="1:24" x14ac:dyDescent="0.2">
      <c r="A118" s="56">
        <v>1499</v>
      </c>
      <c r="B118" s="61" t="s">
        <v>246</v>
      </c>
      <c r="C118" s="25">
        <v>41122</v>
      </c>
      <c r="D118" s="139" t="s">
        <v>460</v>
      </c>
      <c r="E118" s="8">
        <v>-75.591569098000008</v>
      </c>
      <c r="F118" s="8">
        <v>5.0000000000000001E-3</v>
      </c>
      <c r="G118" s="8">
        <v>-238.19755919100001</v>
      </c>
      <c r="H118" s="8">
        <v>3.7999999999999999E-2</v>
      </c>
      <c r="I118" s="8">
        <v>6.1653260472827043</v>
      </c>
      <c r="J118" s="8">
        <v>0.23400000000000001</v>
      </c>
      <c r="K118" s="8">
        <v>20.541922424638372</v>
      </c>
      <c r="L118" s="8">
        <v>0.81899999999999995</v>
      </c>
      <c r="M118" s="139" t="s">
        <v>245</v>
      </c>
      <c r="N118" s="61" t="s">
        <v>133</v>
      </c>
      <c r="O118" s="61" t="s">
        <v>247</v>
      </c>
    </row>
    <row r="119" spans="1:24" x14ac:dyDescent="0.2">
      <c r="A119" s="56">
        <v>1501</v>
      </c>
      <c r="B119" s="61" t="s">
        <v>248</v>
      </c>
      <c r="C119" s="25">
        <v>41123</v>
      </c>
      <c r="D119" s="139" t="s">
        <v>249</v>
      </c>
      <c r="E119" s="8">
        <v>-36.684948663999997</v>
      </c>
      <c r="F119" s="8">
        <v>4.0000000000000001E-3</v>
      </c>
      <c r="G119" s="8">
        <v>-59.089010114000004</v>
      </c>
      <c r="H119" s="8">
        <v>0.03</v>
      </c>
      <c r="I119" s="8">
        <v>0.26409831855711552</v>
      </c>
      <c r="J119" s="8">
        <v>0.51800000000000002</v>
      </c>
      <c r="K119" s="8">
        <v>-1.0375257804140503</v>
      </c>
      <c r="L119" s="8">
        <v>0.78</v>
      </c>
      <c r="M119" s="139" t="s">
        <v>215</v>
      </c>
      <c r="N119" s="61" t="s">
        <v>133</v>
      </c>
      <c r="O119" s="61" t="s">
        <v>130</v>
      </c>
    </row>
    <row r="120" spans="1:24" x14ac:dyDescent="0.2">
      <c r="A120" s="62">
        <v>1503</v>
      </c>
      <c r="B120" s="74" t="s">
        <v>250</v>
      </c>
      <c r="C120" s="26">
        <v>41124</v>
      </c>
      <c r="D120" s="146" t="s">
        <v>249</v>
      </c>
      <c r="E120" s="27">
        <v>-36.525029410000002</v>
      </c>
      <c r="F120" s="27">
        <v>6.0000000000000001E-3</v>
      </c>
      <c r="G120" s="27">
        <v>-59.151108127999997</v>
      </c>
      <c r="H120" s="27">
        <v>2.9000000000000001E-2</v>
      </c>
      <c r="I120" s="27">
        <v>0.75103501211826185</v>
      </c>
      <c r="J120" s="27">
        <v>0.42799999999999999</v>
      </c>
      <c r="K120" s="27">
        <v>-0.27214599098190906</v>
      </c>
      <c r="L120" s="27">
        <v>0.88800000000000001</v>
      </c>
      <c r="M120" s="146" t="s">
        <v>215</v>
      </c>
      <c r="N120" s="74" t="s">
        <v>133</v>
      </c>
      <c r="O120" s="74" t="s">
        <v>130</v>
      </c>
      <c r="V120" s="160" t="s">
        <v>251</v>
      </c>
    </row>
    <row r="121" spans="1:24" x14ac:dyDescent="0.2">
      <c r="A121" s="56">
        <v>1505</v>
      </c>
      <c r="B121" s="61" t="s">
        <v>254</v>
      </c>
      <c r="C121" s="25">
        <v>41125</v>
      </c>
      <c r="D121" s="139" t="s">
        <v>249</v>
      </c>
      <c r="E121" s="8">
        <v>-36.734080483</v>
      </c>
      <c r="F121" s="8">
        <v>5.0000000000000001E-3</v>
      </c>
      <c r="G121" s="8">
        <v>-59.061724622999996</v>
      </c>
      <c r="H121" s="8">
        <v>2.5000000000000001E-2</v>
      </c>
      <c r="I121" s="8">
        <v>-0.32191626881550306</v>
      </c>
      <c r="J121" s="8">
        <v>0.24</v>
      </c>
      <c r="K121" s="8">
        <v>-0.87367547415162505</v>
      </c>
      <c r="L121" s="8">
        <v>0.78500000000000003</v>
      </c>
      <c r="M121" s="139" t="s">
        <v>253</v>
      </c>
      <c r="N121" s="61" t="s">
        <v>133</v>
      </c>
      <c r="O121" s="61" t="s">
        <v>229</v>
      </c>
    </row>
    <row r="122" spans="1:24" x14ac:dyDescent="0.2">
      <c r="A122" s="56">
        <v>1507</v>
      </c>
      <c r="B122" s="61" t="s">
        <v>256</v>
      </c>
      <c r="C122" s="25">
        <v>41126</v>
      </c>
      <c r="D122" s="139" t="s">
        <v>459</v>
      </c>
      <c r="E122" s="8">
        <v>-68.73912540100001</v>
      </c>
      <c r="F122" s="8">
        <v>4.0000000000000001E-3</v>
      </c>
      <c r="G122" s="8">
        <v>-237.61139157400001</v>
      </c>
      <c r="H122" s="8">
        <v>1.9E-2</v>
      </c>
      <c r="I122" s="8">
        <v>5.2006086874347712</v>
      </c>
      <c r="J122" s="8">
        <v>0.151</v>
      </c>
      <c r="K122" s="8">
        <v>11.723497284440665</v>
      </c>
      <c r="L122" s="8">
        <v>0.46800000000000003</v>
      </c>
      <c r="M122" s="139" t="s">
        <v>255</v>
      </c>
      <c r="N122" s="61" t="s">
        <v>133</v>
      </c>
      <c r="O122" s="61" t="s">
        <v>257</v>
      </c>
    </row>
    <row r="123" spans="1:24" x14ac:dyDescent="0.2">
      <c r="A123" s="56">
        <v>1509</v>
      </c>
      <c r="B123" s="61" t="s">
        <v>259</v>
      </c>
      <c r="C123" s="25">
        <v>41128</v>
      </c>
      <c r="D123" s="139" t="s">
        <v>458</v>
      </c>
      <c r="E123" s="8">
        <v>-66.927028312000004</v>
      </c>
      <c r="F123" s="8">
        <v>6.0000000000000001E-3</v>
      </c>
      <c r="G123" s="8">
        <v>-238.19097303800001</v>
      </c>
      <c r="H123" s="8">
        <v>3.6999999999999998E-2</v>
      </c>
      <c r="I123" s="8">
        <v>6.0902111185148211</v>
      </c>
      <c r="J123" s="8">
        <v>0.25900000000000001</v>
      </c>
      <c r="K123" s="8">
        <v>13.220839293524023</v>
      </c>
      <c r="L123" s="8">
        <v>0.83399999999999996</v>
      </c>
      <c r="M123" s="139" t="s">
        <v>258</v>
      </c>
      <c r="N123" s="61" t="s">
        <v>206</v>
      </c>
      <c r="O123" s="61" t="s">
        <v>143</v>
      </c>
    </row>
    <row r="124" spans="1:24" x14ac:dyDescent="0.2">
      <c r="A124" s="56">
        <v>1511</v>
      </c>
      <c r="B124" s="61" t="s">
        <v>261</v>
      </c>
      <c r="C124" s="25">
        <v>41129</v>
      </c>
      <c r="D124" s="139" t="s">
        <v>457</v>
      </c>
      <c r="E124" s="8">
        <v>-67.256500509999995</v>
      </c>
      <c r="F124" s="8">
        <v>7.0000000000000001E-3</v>
      </c>
      <c r="G124" s="8">
        <v>-238.42054751400002</v>
      </c>
      <c r="H124" s="8">
        <v>3.5000000000000003E-2</v>
      </c>
      <c r="I124" s="8">
        <v>4.7890530820360322</v>
      </c>
      <c r="J124" s="8">
        <v>0.27800000000000002</v>
      </c>
      <c r="K124" s="8">
        <v>12.421159575705776</v>
      </c>
      <c r="L124" s="8">
        <v>0.84299999999999997</v>
      </c>
      <c r="M124" s="139" t="s">
        <v>260</v>
      </c>
      <c r="N124" s="61" t="s">
        <v>262</v>
      </c>
      <c r="O124" s="61" t="s">
        <v>146</v>
      </c>
    </row>
    <row r="125" spans="1:24" x14ac:dyDescent="0.2">
      <c r="A125" s="56">
        <v>1513</v>
      </c>
      <c r="B125" s="61" t="s">
        <v>264</v>
      </c>
      <c r="C125" s="25">
        <v>41130</v>
      </c>
      <c r="D125" s="139" t="s">
        <v>456</v>
      </c>
      <c r="E125" s="8">
        <v>-67.662078859000005</v>
      </c>
      <c r="F125" s="8">
        <v>4.0000000000000001E-3</v>
      </c>
      <c r="G125" s="8">
        <v>-235.42290702</v>
      </c>
      <c r="H125" s="8">
        <v>1.9E-2</v>
      </c>
      <c r="I125" s="8">
        <v>5.0208034049341599</v>
      </c>
      <c r="J125" s="8">
        <v>0.191</v>
      </c>
      <c r="K125" s="8">
        <v>15.570695660233946</v>
      </c>
      <c r="L125" s="8">
        <v>0.498</v>
      </c>
      <c r="M125" s="139" t="s">
        <v>263</v>
      </c>
      <c r="N125" s="61" t="s">
        <v>133</v>
      </c>
      <c r="O125" s="61" t="s">
        <v>265</v>
      </c>
    </row>
    <row r="126" spans="1:24" x14ac:dyDescent="0.2">
      <c r="A126" s="56">
        <v>1515</v>
      </c>
      <c r="B126" s="61" t="s">
        <v>266</v>
      </c>
      <c r="C126" s="5">
        <v>41131</v>
      </c>
      <c r="D126" s="139" t="s">
        <v>267</v>
      </c>
      <c r="E126" s="8">
        <v>-20.179547586999998</v>
      </c>
      <c r="F126" s="8">
        <v>4.0000000000000001E-3</v>
      </c>
      <c r="G126" s="8">
        <v>-212.791944433</v>
      </c>
      <c r="H126" s="8">
        <v>1.7999999999999999E-2</v>
      </c>
      <c r="I126" s="8">
        <v>2.4717465637131841</v>
      </c>
      <c r="J126" s="8">
        <v>0.191</v>
      </c>
      <c r="K126" s="8">
        <v>6.7198380079829256</v>
      </c>
      <c r="L126" s="8">
        <v>0.496</v>
      </c>
      <c r="M126" s="139"/>
      <c r="N126" s="61" t="s">
        <v>182</v>
      </c>
      <c r="O126" s="61" t="s">
        <v>257</v>
      </c>
    </row>
    <row r="127" spans="1:24" x14ac:dyDescent="0.2">
      <c r="A127" s="56">
        <v>1517</v>
      </c>
      <c r="B127" s="61" t="s">
        <v>266</v>
      </c>
      <c r="C127" s="5">
        <v>41131</v>
      </c>
      <c r="D127" s="139" t="s">
        <v>268</v>
      </c>
      <c r="E127" s="8">
        <v>-21.303799210000001</v>
      </c>
      <c r="F127" s="8">
        <v>4.0000000000000001E-3</v>
      </c>
      <c r="G127" s="8">
        <v>-215.41417420600001</v>
      </c>
      <c r="H127" s="8">
        <v>1.6E-2</v>
      </c>
      <c r="I127" s="8">
        <v>2.5108820694381695</v>
      </c>
      <c r="J127" s="8">
        <v>0.14000000000000001</v>
      </c>
      <c r="K127" s="8">
        <v>5.6796395100739971</v>
      </c>
      <c r="L127" s="8">
        <v>0.47199999999999998</v>
      </c>
      <c r="M127" s="139"/>
      <c r="N127" s="61" t="s">
        <v>126</v>
      </c>
      <c r="O127" s="61" t="s">
        <v>127</v>
      </c>
    </row>
    <row r="128" spans="1:24" s="49" customFormat="1" x14ac:dyDescent="0.2">
      <c r="A128" s="67" t="s">
        <v>269</v>
      </c>
      <c r="B128" s="70"/>
      <c r="C128" s="47"/>
      <c r="D128" s="145"/>
      <c r="E128" s="50"/>
      <c r="F128" s="50"/>
      <c r="G128" s="50"/>
      <c r="H128" s="50"/>
      <c r="I128" s="50"/>
      <c r="J128" s="50"/>
      <c r="K128" s="50"/>
      <c r="L128" s="50"/>
      <c r="M128" s="145"/>
      <c r="N128" s="70"/>
      <c r="O128" s="70"/>
      <c r="P128" s="82"/>
      <c r="Q128" s="82"/>
      <c r="R128" s="82"/>
      <c r="S128" s="82"/>
      <c r="T128" s="82"/>
      <c r="U128" s="82"/>
      <c r="V128" s="161"/>
      <c r="W128" s="126"/>
      <c r="X128" s="126"/>
    </row>
    <row r="129" spans="1:24" x14ac:dyDescent="0.2">
      <c r="A129" s="56">
        <v>1520</v>
      </c>
      <c r="B129" s="61" t="s">
        <v>270</v>
      </c>
      <c r="C129" s="5">
        <v>41131</v>
      </c>
      <c r="D129" s="139" t="s">
        <v>271</v>
      </c>
      <c r="E129" s="8">
        <v>-36.461447055999997</v>
      </c>
      <c r="F129" s="8">
        <v>5.0000000000000001E-3</v>
      </c>
      <c r="G129" s="8">
        <v>-59.116295604999998</v>
      </c>
      <c r="H129" s="8">
        <v>1.7000000000000001E-2</v>
      </c>
      <c r="I129" s="8">
        <v>-9.789241293678419E-2</v>
      </c>
      <c r="J129" s="8">
        <v>0.316</v>
      </c>
      <c r="K129" s="8">
        <v>-0.32614110758444337</v>
      </c>
      <c r="L129" s="8">
        <v>0.58699999999999997</v>
      </c>
      <c r="M129" s="139"/>
      <c r="N129" s="61" t="s">
        <v>272</v>
      </c>
      <c r="O129" s="61" t="s">
        <v>127</v>
      </c>
    </row>
    <row r="130" spans="1:24" x14ac:dyDescent="0.2">
      <c r="B130" s="61"/>
      <c r="C130" s="5"/>
      <c r="D130" s="139"/>
      <c r="E130" s="8"/>
      <c r="F130" s="8"/>
      <c r="G130" s="8"/>
      <c r="H130" s="8"/>
      <c r="I130" s="8"/>
      <c r="J130" s="8"/>
      <c r="K130" s="8"/>
      <c r="L130" s="8"/>
      <c r="M130" s="139"/>
      <c r="N130" s="61"/>
      <c r="O130" s="61"/>
    </row>
    <row r="131" spans="1:24" x14ac:dyDescent="0.2">
      <c r="B131" s="61"/>
      <c r="C131" s="5"/>
      <c r="D131" s="139"/>
      <c r="E131" s="8"/>
      <c r="F131" s="8"/>
      <c r="G131" s="8"/>
      <c r="H131" s="8"/>
      <c r="I131" s="8"/>
      <c r="J131" s="8"/>
      <c r="K131" s="8"/>
      <c r="L131" s="8"/>
      <c r="M131" s="139"/>
      <c r="N131" s="61"/>
      <c r="O131" s="61"/>
    </row>
    <row r="132" spans="1:24" s="30" customFormat="1" x14ac:dyDescent="0.2">
      <c r="A132" s="57">
        <v>1531</v>
      </c>
      <c r="B132" s="69" t="s">
        <v>273</v>
      </c>
      <c r="C132" s="28">
        <v>41156</v>
      </c>
      <c r="D132" s="140" t="s">
        <v>277</v>
      </c>
      <c r="E132" s="29">
        <v>-42.158811321999998</v>
      </c>
      <c r="F132" s="29">
        <v>3.0000000000000001E-3</v>
      </c>
      <c r="G132" s="29">
        <v>-30.548386528000005</v>
      </c>
      <c r="H132" s="29">
        <v>1.9E-2</v>
      </c>
      <c r="I132" s="29">
        <v>1.1384768105686671</v>
      </c>
      <c r="J132" s="29">
        <v>0.38700000000000001</v>
      </c>
      <c r="K132" s="29">
        <v>1.2494054904272911</v>
      </c>
      <c r="L132" s="29">
        <v>0.60799999999999998</v>
      </c>
      <c r="M132" s="140"/>
      <c r="N132" s="69" t="s">
        <v>274</v>
      </c>
      <c r="O132" s="69" t="s">
        <v>127</v>
      </c>
      <c r="P132" s="187"/>
      <c r="Q132" s="187"/>
      <c r="R132" s="187"/>
      <c r="S132" s="187"/>
      <c r="T132" s="187"/>
      <c r="U132" s="187"/>
      <c r="V132" s="174"/>
      <c r="W132" s="121"/>
      <c r="X132" s="121"/>
    </row>
    <row r="133" spans="1:24" x14ac:dyDescent="0.2">
      <c r="A133" s="56">
        <v>1538</v>
      </c>
      <c r="B133" s="61" t="s">
        <v>276</v>
      </c>
      <c r="C133" s="5">
        <v>41159</v>
      </c>
      <c r="D133" s="139" t="s">
        <v>275</v>
      </c>
      <c r="E133" s="8">
        <v>-51.451468695999999</v>
      </c>
      <c r="F133" s="8">
        <v>3.0000000000000001E-3</v>
      </c>
      <c r="G133" s="8">
        <v>-399.59782460899999</v>
      </c>
      <c r="H133" s="8">
        <v>1.4E-2</v>
      </c>
      <c r="I133" s="8">
        <v>3.8044841212945268</v>
      </c>
      <c r="J133" s="8">
        <v>0.30199999999999999</v>
      </c>
      <c r="K133" s="8">
        <v>-16.937378423194318</v>
      </c>
      <c r="L133" s="8">
        <v>0.29599999999999999</v>
      </c>
      <c r="M133" s="139"/>
      <c r="N133" s="61" t="s">
        <v>126</v>
      </c>
      <c r="O133" s="61" t="s">
        <v>127</v>
      </c>
    </row>
    <row r="134" spans="1:24" x14ac:dyDescent="0.2">
      <c r="A134" s="56">
        <v>1541</v>
      </c>
      <c r="B134" s="61" t="s">
        <v>278</v>
      </c>
      <c r="C134" s="5">
        <v>41163</v>
      </c>
      <c r="D134" s="139" t="s">
        <v>279</v>
      </c>
      <c r="E134" s="8">
        <v>-50.258817874000002</v>
      </c>
      <c r="F134" s="8">
        <v>3.0000000000000001E-3</v>
      </c>
      <c r="G134" s="8">
        <v>-372.56260742299997</v>
      </c>
      <c r="H134" s="8">
        <v>2.1000000000000001E-2</v>
      </c>
      <c r="I134" s="8">
        <v>2.2996302653062184</v>
      </c>
      <c r="J134" s="8">
        <v>0.122</v>
      </c>
      <c r="K134" s="8">
        <v>-12.107927601868408</v>
      </c>
      <c r="L134" s="8">
        <v>0.38700000000000001</v>
      </c>
      <c r="M134" s="139"/>
      <c r="N134" s="61" t="s">
        <v>126</v>
      </c>
      <c r="O134" s="61" t="s">
        <v>280</v>
      </c>
    </row>
    <row r="135" spans="1:24" x14ac:dyDescent="0.2">
      <c r="A135" s="56">
        <v>1544</v>
      </c>
      <c r="B135" s="61" t="s">
        <v>281</v>
      </c>
      <c r="C135" s="5">
        <v>41166</v>
      </c>
      <c r="D135" s="139" t="s">
        <v>282</v>
      </c>
      <c r="E135" s="8">
        <v>-19.078416820000001</v>
      </c>
      <c r="F135" s="8">
        <v>6.0000000000000001E-3</v>
      </c>
      <c r="G135" s="8">
        <v>-133.96980620799999</v>
      </c>
      <c r="H135" s="8">
        <v>1.2999999999999999E-2</v>
      </c>
      <c r="I135" s="8">
        <v>4.9717123551888953</v>
      </c>
      <c r="J135" s="8">
        <v>0.22500000000000001</v>
      </c>
      <c r="K135" s="8">
        <v>13.125349392782759</v>
      </c>
      <c r="L135" s="8">
        <v>0.44</v>
      </c>
      <c r="M135" s="139"/>
      <c r="N135" s="61" t="s">
        <v>126</v>
      </c>
      <c r="O135" s="61" t="s">
        <v>283</v>
      </c>
    </row>
    <row r="136" spans="1:24" x14ac:dyDescent="0.2">
      <c r="A136" s="56">
        <v>1546</v>
      </c>
      <c r="B136" s="61" t="s">
        <v>284</v>
      </c>
      <c r="C136" s="5">
        <v>41167</v>
      </c>
      <c r="D136" s="139" t="s">
        <v>285</v>
      </c>
      <c r="E136" s="8">
        <v>-18.374194080999999</v>
      </c>
      <c r="F136" s="8">
        <v>6.0000000000000001E-3</v>
      </c>
      <c r="G136" s="8">
        <v>-133.28672805400001</v>
      </c>
      <c r="H136" s="8">
        <v>1.7000000000000001E-2</v>
      </c>
      <c r="I136" s="8">
        <v>5.1106056829208768</v>
      </c>
      <c r="J136" s="8">
        <v>0.222</v>
      </c>
      <c r="K136" s="8">
        <v>13.370611873167348</v>
      </c>
      <c r="L136" s="8">
        <v>0.51</v>
      </c>
      <c r="M136" s="139"/>
      <c r="N136" s="61" t="s">
        <v>126</v>
      </c>
      <c r="O136" s="61" t="s">
        <v>127</v>
      </c>
    </row>
    <row r="137" spans="1:24" x14ac:dyDescent="0.2">
      <c r="A137" s="56">
        <v>1548</v>
      </c>
      <c r="B137" s="61" t="s">
        <v>286</v>
      </c>
      <c r="C137" s="5">
        <v>41169</v>
      </c>
      <c r="D137" s="139" t="s">
        <v>287</v>
      </c>
      <c r="E137" s="8">
        <v>-20.792250271</v>
      </c>
      <c r="F137" s="8">
        <v>8.0000000000000002E-3</v>
      </c>
      <c r="G137" s="8">
        <v>-212.70162004900001</v>
      </c>
      <c r="H137" s="8">
        <v>1.6E-2</v>
      </c>
      <c r="I137" s="8">
        <v>2.9498267783312215</v>
      </c>
      <c r="J137" s="8">
        <v>0.34599999999999997</v>
      </c>
      <c r="K137" s="8">
        <v>8.7706285151782915</v>
      </c>
      <c r="L137" s="8">
        <v>0.443</v>
      </c>
      <c r="M137" s="139"/>
      <c r="N137" s="61" t="s">
        <v>126</v>
      </c>
      <c r="O137" s="61" t="s">
        <v>127</v>
      </c>
    </row>
    <row r="138" spans="1:24" x14ac:dyDescent="0.2">
      <c r="B138" s="61"/>
      <c r="C138" s="5"/>
      <c r="D138" s="139"/>
      <c r="E138" s="8"/>
      <c r="F138" s="8"/>
      <c r="G138" s="8"/>
      <c r="H138" s="8"/>
      <c r="I138" s="8"/>
      <c r="J138" s="8"/>
      <c r="K138" s="8"/>
      <c r="L138" s="8"/>
      <c r="M138" s="139"/>
      <c r="N138" s="61"/>
      <c r="O138" s="61"/>
    </row>
    <row r="139" spans="1:24" x14ac:dyDescent="0.2">
      <c r="B139" s="61"/>
      <c r="C139" s="5"/>
      <c r="D139" s="139"/>
      <c r="E139" s="8"/>
      <c r="F139" s="8"/>
      <c r="G139" s="8"/>
      <c r="H139" s="8"/>
      <c r="I139" s="8"/>
      <c r="J139" s="8"/>
      <c r="K139" s="8"/>
      <c r="L139" s="8"/>
      <c r="M139" s="139"/>
      <c r="N139" s="61"/>
      <c r="O139" s="61"/>
    </row>
    <row r="140" spans="1:24" x14ac:dyDescent="0.2">
      <c r="B140" s="61"/>
      <c r="C140" s="5"/>
      <c r="D140" s="139"/>
      <c r="E140" s="8"/>
      <c r="F140" s="8"/>
      <c r="G140" s="8"/>
      <c r="H140" s="8"/>
      <c r="I140" s="8"/>
      <c r="J140" s="8"/>
      <c r="K140" s="8"/>
      <c r="L140" s="8"/>
      <c r="M140" s="139"/>
      <c r="N140" s="61"/>
      <c r="O140" s="61"/>
    </row>
    <row r="141" spans="1:24" x14ac:dyDescent="0.2">
      <c r="A141" s="62">
        <v>1689</v>
      </c>
      <c r="B141" s="74" t="s">
        <v>290</v>
      </c>
      <c r="C141" s="31">
        <v>41305</v>
      </c>
      <c r="D141" s="146" t="s">
        <v>298</v>
      </c>
      <c r="E141" s="27">
        <v>-36.509615506000003</v>
      </c>
      <c r="F141" s="27">
        <v>1.2999999999999999E-2</v>
      </c>
      <c r="G141" s="27">
        <v>-59.012798914999998</v>
      </c>
      <c r="H141" s="27">
        <v>3.5000000000000003E-2</v>
      </c>
      <c r="I141" s="27">
        <v>0.39298104336893402</v>
      </c>
      <c r="J141" s="8">
        <v>0.26</v>
      </c>
      <c r="K141" s="27">
        <v>-3.0803187250522113</v>
      </c>
      <c r="L141" s="27">
        <v>0.90800000000000003</v>
      </c>
      <c r="M141" s="146" t="s">
        <v>288</v>
      </c>
      <c r="N141" s="74" t="s">
        <v>289</v>
      </c>
      <c r="O141" s="74" t="s">
        <v>242</v>
      </c>
      <c r="V141" s="160" t="s">
        <v>321</v>
      </c>
    </row>
    <row r="142" spans="1:24" x14ac:dyDescent="0.2">
      <c r="A142" s="62">
        <v>1691</v>
      </c>
      <c r="B142" s="74" t="s">
        <v>292</v>
      </c>
      <c r="C142" s="31">
        <v>41306</v>
      </c>
      <c r="D142" s="146" t="s">
        <v>299</v>
      </c>
      <c r="E142" s="27">
        <v>-36.579941443000003</v>
      </c>
      <c r="F142" s="27">
        <v>5.0000000000000001E-3</v>
      </c>
      <c r="G142" s="27">
        <v>-59.052315833000002</v>
      </c>
      <c r="H142" s="27">
        <v>2.1000000000000001E-2</v>
      </c>
      <c r="I142" s="27">
        <v>0.15406728726841123</v>
      </c>
      <c r="J142" s="8">
        <v>0.14799999999999999</v>
      </c>
      <c r="K142" s="27">
        <v>-0.81573331625661716</v>
      </c>
      <c r="L142" s="27">
        <v>0.55700000000000005</v>
      </c>
      <c r="M142" s="146" t="s">
        <v>291</v>
      </c>
      <c r="N142" s="74" t="s">
        <v>182</v>
      </c>
      <c r="O142" s="74" t="s">
        <v>257</v>
      </c>
      <c r="V142" s="160" t="s">
        <v>321</v>
      </c>
    </row>
    <row r="143" spans="1:24" x14ac:dyDescent="0.2">
      <c r="A143" s="62">
        <v>1693</v>
      </c>
      <c r="B143" s="74" t="s">
        <v>297</v>
      </c>
      <c r="C143" s="31">
        <v>41307</v>
      </c>
      <c r="D143" s="146" t="s">
        <v>300</v>
      </c>
      <c r="E143" s="27">
        <v>-36.626183155</v>
      </c>
      <c r="F143" s="27">
        <v>0.01</v>
      </c>
      <c r="G143" s="27">
        <v>-58.986454303000002</v>
      </c>
      <c r="H143" s="27">
        <v>2.9000000000000001E-2</v>
      </c>
      <c r="I143" s="27">
        <v>0.18906182123523685</v>
      </c>
      <c r="J143" s="8">
        <v>0.21099999999999999</v>
      </c>
      <c r="K143" s="27">
        <v>-1.9384868217269258</v>
      </c>
      <c r="L143" s="27">
        <v>0.76600000000000001</v>
      </c>
      <c r="M143" s="146" t="s">
        <v>293</v>
      </c>
      <c r="N143" s="74" t="s">
        <v>133</v>
      </c>
      <c r="O143" s="74" t="s">
        <v>130</v>
      </c>
      <c r="V143" s="160" t="s">
        <v>321</v>
      </c>
    </row>
    <row r="144" spans="1:24" x14ac:dyDescent="0.2">
      <c r="A144" s="62">
        <v>1695</v>
      </c>
      <c r="B144" s="74" t="s">
        <v>295</v>
      </c>
      <c r="C144" s="31">
        <v>41308</v>
      </c>
      <c r="D144" s="146" t="s">
        <v>301</v>
      </c>
      <c r="E144" s="27">
        <v>-36.661827807999998</v>
      </c>
      <c r="F144" s="27">
        <v>1.0999999999999999E-2</v>
      </c>
      <c r="G144" s="27">
        <v>-59.083364840000002</v>
      </c>
      <c r="H144" s="27">
        <v>2.1999999999999999E-2</v>
      </c>
      <c r="I144" s="27">
        <v>-0.21390599782400432</v>
      </c>
      <c r="J144" s="8">
        <v>0.18</v>
      </c>
      <c r="K144" s="27">
        <v>-3.255482266395604</v>
      </c>
      <c r="L144" s="27">
        <v>0.58899999999999997</v>
      </c>
      <c r="M144" s="146" t="s">
        <v>294</v>
      </c>
      <c r="N144" s="74" t="s">
        <v>133</v>
      </c>
      <c r="O144" s="74" t="s">
        <v>296</v>
      </c>
      <c r="V144" s="160" t="s">
        <v>321</v>
      </c>
    </row>
    <row r="145" spans="1:22" x14ac:dyDescent="0.2">
      <c r="A145" s="62">
        <v>1697</v>
      </c>
      <c r="B145" s="74" t="s">
        <v>323</v>
      </c>
      <c r="C145" s="31">
        <v>41309</v>
      </c>
      <c r="D145" s="146" t="s">
        <v>304</v>
      </c>
      <c r="E145" s="27">
        <v>-36.583794918999999</v>
      </c>
      <c r="F145" s="27">
        <v>6.0000000000000001E-3</v>
      </c>
      <c r="G145" s="27">
        <v>-59.034439132000003</v>
      </c>
      <c r="H145" s="27">
        <v>2.1999999999999999E-2</v>
      </c>
      <c r="I145" s="27">
        <v>0.12206886453869359</v>
      </c>
      <c r="J145" s="8">
        <v>0.30499999999999999</v>
      </c>
      <c r="K145" s="27">
        <v>-1.9236022702221467</v>
      </c>
      <c r="L145" s="27">
        <v>0.55700000000000005</v>
      </c>
      <c r="M145" s="146" t="s">
        <v>322</v>
      </c>
      <c r="N145" s="74" t="s">
        <v>305</v>
      </c>
      <c r="O145" s="74" t="s">
        <v>324</v>
      </c>
      <c r="V145" s="160" t="s">
        <v>321</v>
      </c>
    </row>
    <row r="146" spans="1:22" x14ac:dyDescent="0.2">
      <c r="A146" s="56">
        <v>1699</v>
      </c>
      <c r="B146" s="61" t="s">
        <v>303</v>
      </c>
      <c r="C146" s="5">
        <v>41310</v>
      </c>
      <c r="D146" s="139" t="s">
        <v>304</v>
      </c>
      <c r="E146" s="8">
        <v>-36.612695989000002</v>
      </c>
      <c r="F146" s="8">
        <v>6.0000000000000001E-3</v>
      </c>
      <c r="G146" s="8">
        <v>-59.121940879</v>
      </c>
      <c r="H146" s="8">
        <v>2.1000000000000001E-2</v>
      </c>
      <c r="I146" s="8">
        <v>-0.1159069816655256</v>
      </c>
      <c r="J146" s="8">
        <v>0.152</v>
      </c>
      <c r="K146" s="8">
        <v>-1.0275468511983243</v>
      </c>
      <c r="L146" s="8">
        <v>0.55400000000000005</v>
      </c>
      <c r="M146" s="139" t="s">
        <v>302</v>
      </c>
      <c r="N146" s="61" t="s">
        <v>305</v>
      </c>
      <c r="O146" s="61" t="s">
        <v>265</v>
      </c>
    </row>
    <row r="147" spans="1:22" x14ac:dyDescent="0.2">
      <c r="A147" s="56">
        <v>1702</v>
      </c>
      <c r="B147" s="61" t="s">
        <v>307</v>
      </c>
      <c r="C147" s="5">
        <v>41311</v>
      </c>
      <c r="D147" s="139" t="s">
        <v>308</v>
      </c>
      <c r="E147" s="8">
        <v>-39.255217156000001</v>
      </c>
      <c r="F147" s="8">
        <v>0.01</v>
      </c>
      <c r="G147" s="8">
        <v>-226.10726404100001</v>
      </c>
      <c r="H147" s="8">
        <v>2.5000000000000001E-2</v>
      </c>
      <c r="I147" s="8">
        <v>4.7420341115342879</v>
      </c>
      <c r="J147" s="8">
        <v>0.193</v>
      </c>
      <c r="K147" s="8">
        <v>7.5905505596627343</v>
      </c>
      <c r="L147" s="8">
        <v>0.51900000000000002</v>
      </c>
      <c r="M147" s="139" t="s">
        <v>306</v>
      </c>
      <c r="N147" s="61" t="s">
        <v>305</v>
      </c>
      <c r="O147" s="61" t="s">
        <v>309</v>
      </c>
    </row>
    <row r="148" spans="1:22" x14ac:dyDescent="0.2">
      <c r="A148" s="56">
        <v>1704</v>
      </c>
      <c r="B148" s="61" t="s">
        <v>310</v>
      </c>
      <c r="C148" s="5">
        <v>41312</v>
      </c>
      <c r="D148" s="139" t="s">
        <v>311</v>
      </c>
      <c r="E148" s="8">
        <v>-34.922946762999999</v>
      </c>
      <c r="F148" s="8">
        <v>7.0000000000000001E-3</v>
      </c>
      <c r="G148" s="8">
        <v>-51.318290453000003</v>
      </c>
      <c r="H148" s="8">
        <v>0.03</v>
      </c>
      <c r="I148" s="8">
        <v>-0.2174297852700624</v>
      </c>
      <c r="J148" s="8">
        <v>0.27400000000000002</v>
      </c>
      <c r="K148" s="8">
        <v>-1.1726486065775088</v>
      </c>
      <c r="L148" s="8">
        <v>0.71399999999999997</v>
      </c>
      <c r="M148" s="139" t="s">
        <v>293</v>
      </c>
      <c r="N148" s="61" t="s">
        <v>133</v>
      </c>
      <c r="O148" s="61" t="s">
        <v>130</v>
      </c>
    </row>
    <row r="149" spans="1:22" x14ac:dyDescent="0.2">
      <c r="A149" s="56">
        <v>1706</v>
      </c>
      <c r="B149" s="61" t="s">
        <v>313</v>
      </c>
      <c r="C149" s="5">
        <v>41313</v>
      </c>
      <c r="D149" s="139" t="s">
        <v>314</v>
      </c>
      <c r="E149" s="8">
        <v>-39.268704321999998</v>
      </c>
      <c r="F149" s="8">
        <v>7.0000000000000001E-3</v>
      </c>
      <c r="G149" s="8">
        <v>-225.87768956500003</v>
      </c>
      <c r="H149" s="8">
        <v>2.3E-2</v>
      </c>
      <c r="I149" s="8">
        <v>4.5081363859154067</v>
      </c>
      <c r="J149" s="8">
        <v>0.14000000000000001</v>
      </c>
      <c r="K149" s="8">
        <v>8.4542456354921303</v>
      </c>
      <c r="L149" s="8">
        <v>0.434</v>
      </c>
      <c r="M149" s="139" t="s">
        <v>312</v>
      </c>
      <c r="N149" s="61" t="s">
        <v>315</v>
      </c>
      <c r="O149" s="61" t="s">
        <v>316</v>
      </c>
    </row>
    <row r="150" spans="1:22" x14ac:dyDescent="0.2">
      <c r="A150" s="56">
        <v>1708</v>
      </c>
      <c r="B150" s="61" t="s">
        <v>318</v>
      </c>
      <c r="C150" s="5">
        <v>41314</v>
      </c>
      <c r="D150" s="139" t="s">
        <v>455</v>
      </c>
      <c r="E150" s="8">
        <v>-65.897186851000001</v>
      </c>
      <c r="F150" s="8">
        <v>2.1000000000000001E-2</v>
      </c>
      <c r="G150" s="8">
        <v>-234.84332555600002</v>
      </c>
      <c r="H150" s="8">
        <v>6.8000000000000005E-2</v>
      </c>
      <c r="I150" s="8">
        <v>5.3106057946463725</v>
      </c>
      <c r="J150" s="8">
        <v>0.26700000000000002</v>
      </c>
      <c r="K150" s="8">
        <v>16.610149489276527</v>
      </c>
      <c r="L150" s="8">
        <v>1.0289999999999999</v>
      </c>
      <c r="M150" s="139" t="s">
        <v>317</v>
      </c>
      <c r="N150" s="61" t="s">
        <v>319</v>
      </c>
      <c r="O150" s="61" t="s">
        <v>330</v>
      </c>
    </row>
    <row r="151" spans="1:22" x14ac:dyDescent="0.2">
      <c r="A151" s="56">
        <v>1710</v>
      </c>
      <c r="B151" s="61" t="s">
        <v>326</v>
      </c>
      <c r="C151" s="5">
        <v>41315</v>
      </c>
      <c r="D151" s="139" t="s">
        <v>327</v>
      </c>
      <c r="E151" s="8">
        <v>-36.636780213999998</v>
      </c>
      <c r="F151" s="8">
        <v>1.2999999999999999E-2</v>
      </c>
      <c r="G151" s="8">
        <v>-223.92724739800002</v>
      </c>
      <c r="H151" s="8">
        <v>1.9E-2</v>
      </c>
      <c r="I151" s="8">
        <v>3.934367270204131</v>
      </c>
      <c r="J151" s="8">
        <v>0.17699999999999999</v>
      </c>
      <c r="K151" s="8">
        <v>6.8766212307251884</v>
      </c>
      <c r="L151" s="8">
        <v>0.38700000000000001</v>
      </c>
      <c r="M151" s="139" t="s">
        <v>325</v>
      </c>
      <c r="N151" s="61" t="s">
        <v>315</v>
      </c>
      <c r="O151" s="61" t="s">
        <v>316</v>
      </c>
    </row>
    <row r="152" spans="1:22" x14ac:dyDescent="0.2">
      <c r="A152" s="56">
        <v>1713</v>
      </c>
      <c r="B152" s="61" t="s">
        <v>328</v>
      </c>
      <c r="C152" s="5">
        <v>41317</v>
      </c>
      <c r="D152" s="139" t="s">
        <v>454</v>
      </c>
      <c r="E152" s="8">
        <v>-65.350956627999992</v>
      </c>
      <c r="F152" s="8">
        <v>2.3E-2</v>
      </c>
      <c r="G152" s="8">
        <v>-234.79439984800001</v>
      </c>
      <c r="H152" s="8">
        <v>7.0999999999999994E-2</v>
      </c>
      <c r="I152" s="8">
        <v>5.8602948396451193</v>
      </c>
      <c r="J152" s="8">
        <v>0.28699999999999998</v>
      </c>
      <c r="K152" s="8">
        <v>14.150824737878098</v>
      </c>
      <c r="L152" s="8">
        <v>0.98199999999999998</v>
      </c>
      <c r="M152" s="139" t="s">
        <v>329</v>
      </c>
      <c r="N152" s="61" t="s">
        <v>413</v>
      </c>
      <c r="O152" s="61" t="s">
        <v>330</v>
      </c>
    </row>
    <row r="153" spans="1:22" x14ac:dyDescent="0.2">
      <c r="A153" s="56">
        <v>1715</v>
      </c>
      <c r="B153" s="61" t="s">
        <v>332</v>
      </c>
      <c r="C153" s="5">
        <v>41318</v>
      </c>
      <c r="D153" s="139" t="s">
        <v>333</v>
      </c>
      <c r="E153" s="8">
        <v>-36.576087966999999</v>
      </c>
      <c r="F153" s="8">
        <v>5.0000000000000001E-3</v>
      </c>
      <c r="G153" s="8">
        <v>-228.39830440599999</v>
      </c>
      <c r="H153" s="8">
        <v>1.7000000000000001E-2</v>
      </c>
      <c r="I153" s="8">
        <v>4.5193977513524608</v>
      </c>
      <c r="J153" s="8">
        <v>0.107</v>
      </c>
      <c r="K153" s="8">
        <v>8.9536269949685998</v>
      </c>
      <c r="L153" s="8">
        <v>0.34699999999999998</v>
      </c>
      <c r="M153" s="139" t="s">
        <v>331</v>
      </c>
      <c r="N153" s="61" t="s">
        <v>334</v>
      </c>
      <c r="O153" s="61" t="s">
        <v>335</v>
      </c>
    </row>
    <row r="154" spans="1:22" x14ac:dyDescent="0.2">
      <c r="A154" s="56">
        <v>1717</v>
      </c>
      <c r="B154" s="61" t="s">
        <v>337</v>
      </c>
      <c r="C154" s="5">
        <v>41319</v>
      </c>
      <c r="D154" s="139" t="s">
        <v>338</v>
      </c>
      <c r="E154" s="8">
        <v>-36.664717914999997</v>
      </c>
      <c r="F154" s="8">
        <v>5.0000000000000001E-3</v>
      </c>
      <c r="G154" s="8"/>
      <c r="H154" s="8"/>
      <c r="I154" s="8">
        <v>4.260520534641099</v>
      </c>
      <c r="J154" s="8">
        <v>0.124</v>
      </c>
      <c r="K154" s="8"/>
      <c r="L154" s="8"/>
      <c r="M154" s="139" t="s">
        <v>412</v>
      </c>
      <c r="N154" s="61" t="s">
        <v>336</v>
      </c>
      <c r="O154" s="61"/>
    </row>
    <row r="155" spans="1:22" x14ac:dyDescent="0.2">
      <c r="A155" s="56">
        <v>1718</v>
      </c>
      <c r="B155" s="61" t="s">
        <v>339</v>
      </c>
      <c r="C155" s="5">
        <v>41319</v>
      </c>
      <c r="D155" s="139" t="s">
        <v>340</v>
      </c>
      <c r="E155" s="8">
        <v>-34.967261737000001</v>
      </c>
      <c r="F155" s="8">
        <v>0.01</v>
      </c>
      <c r="G155" s="8">
        <v>-51.348398580999998</v>
      </c>
      <c r="H155" s="8">
        <v>2.4E-2</v>
      </c>
      <c r="I155" s="8">
        <v>-0.26255859462676057</v>
      </c>
      <c r="J155" s="8">
        <v>0.184</v>
      </c>
      <c r="K155" s="8">
        <v>7.5093264753300915E-2</v>
      </c>
      <c r="L155" s="8">
        <v>0.65200000000000002</v>
      </c>
      <c r="M155" s="139" t="s">
        <v>253</v>
      </c>
      <c r="N155" s="61" t="s">
        <v>159</v>
      </c>
      <c r="O155" s="61" t="s">
        <v>309</v>
      </c>
    </row>
    <row r="156" spans="1:22" x14ac:dyDescent="0.2">
      <c r="A156" s="56">
        <v>1720</v>
      </c>
      <c r="B156" s="61" t="s">
        <v>344</v>
      </c>
      <c r="C156" s="5">
        <v>41320</v>
      </c>
      <c r="D156" s="139" t="s">
        <v>481</v>
      </c>
      <c r="E156" s="8">
        <v>-40.776376806999998</v>
      </c>
      <c r="F156" s="8">
        <v>3.0000000000000001E-3</v>
      </c>
      <c r="G156" s="8">
        <v>-194.27356395500001</v>
      </c>
      <c r="H156" s="8">
        <v>1.4E-2</v>
      </c>
      <c r="I156" s="8">
        <v>2.5216298446268937</v>
      </c>
      <c r="J156" s="8">
        <v>8.7999999999999995E-2</v>
      </c>
      <c r="K156" s="8">
        <v>8.3148983430814116</v>
      </c>
      <c r="L156" s="8">
        <v>0.36199999999999999</v>
      </c>
      <c r="M156" s="139" t="s">
        <v>345</v>
      </c>
      <c r="N156" s="61" t="s">
        <v>126</v>
      </c>
      <c r="O156" s="61" t="s">
        <v>127</v>
      </c>
    </row>
    <row r="157" spans="1:22" x14ac:dyDescent="0.2">
      <c r="A157" s="56">
        <v>1722</v>
      </c>
      <c r="B157" s="61" t="s">
        <v>342</v>
      </c>
      <c r="C157" s="5">
        <v>41321</v>
      </c>
      <c r="D157" s="139" t="s">
        <v>453</v>
      </c>
      <c r="E157" s="8">
        <v>-70.659119818000008</v>
      </c>
      <c r="F157" s="8">
        <v>6.0000000000000001E-3</v>
      </c>
      <c r="G157" s="8">
        <v>-268.94360315299997</v>
      </c>
      <c r="H157" s="8">
        <v>3.2000000000000001E-2</v>
      </c>
      <c r="I157" s="8">
        <v>5.734470723202989</v>
      </c>
      <c r="J157" s="8">
        <v>0.152</v>
      </c>
      <c r="K157" s="8">
        <v>14.376267281426935</v>
      </c>
      <c r="L157" s="8">
        <v>0.63</v>
      </c>
      <c r="M157" s="139" t="s">
        <v>341</v>
      </c>
      <c r="N157" s="61" t="s">
        <v>206</v>
      </c>
      <c r="O157" s="61" t="s">
        <v>343</v>
      </c>
    </row>
    <row r="158" spans="1:22" x14ac:dyDescent="0.2">
      <c r="A158" s="56">
        <v>1724</v>
      </c>
      <c r="B158" s="61" t="s">
        <v>346</v>
      </c>
      <c r="C158" s="25">
        <v>41322</v>
      </c>
      <c r="D158" s="139" t="s">
        <v>482</v>
      </c>
      <c r="E158" s="8">
        <v>-37.967192803000003</v>
      </c>
      <c r="F158" s="8">
        <v>5.0000000000000001E-3</v>
      </c>
      <c r="G158" s="8">
        <v>-174.33916058200001</v>
      </c>
      <c r="H158" s="8">
        <v>1.7999999999999999E-2</v>
      </c>
      <c r="I158" s="8">
        <v>2.449265327702399</v>
      </c>
      <c r="J158" s="8">
        <v>0.11</v>
      </c>
      <c r="K158" s="8">
        <v>6.1783931463541553</v>
      </c>
      <c r="L158" s="8">
        <v>0.42499999999999999</v>
      </c>
      <c r="M158" s="139" t="s">
        <v>411</v>
      </c>
      <c r="N158" s="61" t="s">
        <v>126</v>
      </c>
      <c r="O158" s="61" t="s">
        <v>257</v>
      </c>
    </row>
    <row r="159" spans="1:22" x14ac:dyDescent="0.2">
      <c r="A159" s="56">
        <v>1726</v>
      </c>
      <c r="B159" s="61" t="s">
        <v>347</v>
      </c>
      <c r="C159" s="5">
        <v>41323</v>
      </c>
      <c r="D159" s="139" t="s">
        <v>348</v>
      </c>
      <c r="E159" s="8">
        <v>-35.045294626</v>
      </c>
      <c r="F159" s="8">
        <v>6.0000000000000001E-3</v>
      </c>
      <c r="G159" s="8">
        <v>-51.412378353000001</v>
      </c>
      <c r="H159" s="8">
        <v>3.1E-2</v>
      </c>
      <c r="I159" s="8">
        <v>5.5415848772000231E-3</v>
      </c>
      <c r="J159" s="8">
        <v>0.21</v>
      </c>
      <c r="K159" s="8">
        <v>-2.8913215055964558</v>
      </c>
      <c r="L159" s="8">
        <v>0.872</v>
      </c>
      <c r="M159" s="139" t="s">
        <v>294</v>
      </c>
      <c r="N159" s="61" t="s">
        <v>133</v>
      </c>
      <c r="O159" s="61" t="s">
        <v>146</v>
      </c>
    </row>
    <row r="160" spans="1:22" x14ac:dyDescent="0.2">
      <c r="A160" s="56">
        <v>1728</v>
      </c>
      <c r="B160" s="61" t="s">
        <v>368</v>
      </c>
      <c r="C160" s="5">
        <v>41324</v>
      </c>
      <c r="D160" s="139" t="s">
        <v>483</v>
      </c>
      <c r="E160" s="8">
        <v>-47.434219966000001</v>
      </c>
      <c r="F160" s="8">
        <v>5.0000000000000001E-3</v>
      </c>
      <c r="G160" s="8">
        <v>-281.28511299600001</v>
      </c>
      <c r="H160" s="8">
        <v>0.02</v>
      </c>
      <c r="I160" s="8">
        <v>3.3925365511779937</v>
      </c>
      <c r="J160" s="8">
        <v>9.9000000000000005E-2</v>
      </c>
      <c r="K160" s="8">
        <v>-3.8954453711865789</v>
      </c>
      <c r="L160" s="8">
        <v>0.373</v>
      </c>
      <c r="M160" s="139" t="s">
        <v>367</v>
      </c>
      <c r="N160" s="61" t="s">
        <v>126</v>
      </c>
      <c r="O160" s="61" t="s">
        <v>283</v>
      </c>
    </row>
    <row r="161" spans="1:24" x14ac:dyDescent="0.2">
      <c r="A161" s="62">
        <v>1730</v>
      </c>
      <c r="B161" s="74" t="s">
        <v>414</v>
      </c>
      <c r="C161" s="31">
        <v>41325</v>
      </c>
      <c r="D161" s="146" t="s">
        <v>452</v>
      </c>
      <c r="E161" s="27">
        <v>-88.628841774999998</v>
      </c>
      <c r="F161" s="27">
        <v>1.4E-2</v>
      </c>
      <c r="G161" s="27">
        <v>-286.62554219999998</v>
      </c>
      <c r="H161" s="27">
        <v>0.10199999999999999</v>
      </c>
      <c r="I161" s="27">
        <v>7.8633420370808338</v>
      </c>
      <c r="J161" s="8">
        <v>0.52200000000000002</v>
      </c>
      <c r="K161" s="27">
        <v>18.979106440672577</v>
      </c>
      <c r="L161" s="27">
        <v>1.391</v>
      </c>
      <c r="M161" s="146" t="s">
        <v>349</v>
      </c>
      <c r="N161" s="74" t="s">
        <v>188</v>
      </c>
      <c r="O161" s="74" t="s">
        <v>410</v>
      </c>
      <c r="V161" s="160" t="s">
        <v>351</v>
      </c>
    </row>
    <row r="162" spans="1:24" x14ac:dyDescent="0.2">
      <c r="A162" s="56">
        <v>1732</v>
      </c>
      <c r="B162" s="61" t="s">
        <v>352</v>
      </c>
      <c r="C162" s="5">
        <v>41326</v>
      </c>
      <c r="D162" s="139" t="s">
        <v>484</v>
      </c>
      <c r="E162" s="8">
        <v>-41.921822547999994</v>
      </c>
      <c r="F162" s="8">
        <v>4.0000000000000001E-3</v>
      </c>
      <c r="G162" s="8">
        <v>-207.59641059500001</v>
      </c>
      <c r="H162" s="8">
        <v>1.6E-2</v>
      </c>
      <c r="I162" s="8">
        <v>3.6111273104351138</v>
      </c>
      <c r="J162" s="8">
        <v>0.128</v>
      </c>
      <c r="K162" s="8">
        <v>10.543184396488048</v>
      </c>
      <c r="L162" s="8">
        <v>0.40300000000000002</v>
      </c>
      <c r="M162" s="139" t="s">
        <v>331</v>
      </c>
      <c r="N162" s="61" t="s">
        <v>143</v>
      </c>
      <c r="O162" s="61" t="s">
        <v>257</v>
      </c>
    </row>
    <row r="163" spans="1:24" x14ac:dyDescent="0.2">
      <c r="A163" s="56">
        <v>1734</v>
      </c>
      <c r="B163" s="61" t="s">
        <v>353</v>
      </c>
      <c r="C163" s="5">
        <v>41327</v>
      </c>
      <c r="D163" s="139" t="s">
        <v>485</v>
      </c>
      <c r="E163" s="8">
        <v>-50.457271888000001</v>
      </c>
      <c r="F163" s="8">
        <v>3.0000000000000001E-3</v>
      </c>
      <c r="G163" s="8">
        <v>-259.09918617599999</v>
      </c>
      <c r="H163" s="8">
        <v>1.7999999999999999E-2</v>
      </c>
      <c r="I163" s="8">
        <v>2.4503643150521892</v>
      </c>
      <c r="J163" s="8">
        <v>0.11600000000000001</v>
      </c>
      <c r="K163" s="8">
        <v>-14.606769612332094</v>
      </c>
      <c r="L163" s="8">
        <v>0.36699999999999999</v>
      </c>
      <c r="M163" s="139" t="s">
        <v>331</v>
      </c>
      <c r="N163" s="61" t="s">
        <v>126</v>
      </c>
      <c r="O163" s="61" t="s">
        <v>127</v>
      </c>
    </row>
    <row r="164" spans="1:24" x14ac:dyDescent="0.2">
      <c r="A164" s="56">
        <v>1736</v>
      </c>
      <c r="B164" s="61" t="s">
        <v>354</v>
      </c>
      <c r="C164" s="5">
        <v>41329</v>
      </c>
      <c r="D164" s="139" t="s">
        <v>486</v>
      </c>
      <c r="E164" s="8">
        <v>-41.420870667999999</v>
      </c>
      <c r="F164" s="8">
        <v>4.0000000000000001E-3</v>
      </c>
      <c r="G164" s="8">
        <v>-198.95631873800002</v>
      </c>
      <c r="H164" s="8">
        <v>1.7000000000000001E-2</v>
      </c>
      <c r="I164" s="8">
        <v>2.9596811463876715</v>
      </c>
      <c r="J164" s="8">
        <v>0.13600000000000001</v>
      </c>
      <c r="K164" s="8">
        <v>9.0734044621612053</v>
      </c>
      <c r="L164" s="8">
        <v>0.39600000000000002</v>
      </c>
      <c r="M164" s="139" t="s">
        <v>355</v>
      </c>
      <c r="N164" s="61" t="s">
        <v>126</v>
      </c>
      <c r="O164" s="61" t="s">
        <v>283</v>
      </c>
    </row>
    <row r="165" spans="1:24" x14ac:dyDescent="0.2">
      <c r="A165" s="56">
        <v>1738</v>
      </c>
      <c r="B165" s="61" t="s">
        <v>366</v>
      </c>
      <c r="C165" s="5">
        <v>41330</v>
      </c>
      <c r="D165" s="139" t="s">
        <v>487</v>
      </c>
      <c r="E165" s="8">
        <v>-54.250055641000003</v>
      </c>
      <c r="F165" s="8">
        <v>3.0000000000000001E-3</v>
      </c>
      <c r="G165" s="8">
        <v>-261.28202545599999</v>
      </c>
      <c r="H165" s="8">
        <v>1.7000000000000001E-2</v>
      </c>
      <c r="I165" s="8">
        <v>1.6641012283455936</v>
      </c>
      <c r="J165" s="8">
        <v>9.7000000000000003E-2</v>
      </c>
      <c r="K165" s="8">
        <v>-20.170948227333007</v>
      </c>
      <c r="L165" s="8">
        <v>0.35299999999999998</v>
      </c>
      <c r="M165" s="139" t="s">
        <v>409</v>
      </c>
      <c r="N165" s="61" t="s">
        <v>146</v>
      </c>
      <c r="O165" s="61" t="s">
        <v>139</v>
      </c>
    </row>
    <row r="166" spans="1:24" x14ac:dyDescent="0.2">
      <c r="A166" s="56" t="s">
        <v>408</v>
      </c>
      <c r="B166" s="61" t="s">
        <v>339</v>
      </c>
      <c r="C166" s="5">
        <v>41332</v>
      </c>
      <c r="D166" s="139" t="s">
        <v>357</v>
      </c>
      <c r="E166" s="8">
        <v>-35.042404519000002</v>
      </c>
      <c r="F166" s="8">
        <v>8.9999999999999993E-3</v>
      </c>
      <c r="G166" s="8">
        <v>-51.378506709</v>
      </c>
      <c r="H166" s="8">
        <v>1.4999999999999999E-2</v>
      </c>
      <c r="I166" s="8">
        <v>-0.2331810494984321</v>
      </c>
      <c r="J166" s="8">
        <v>0.20899999999999999</v>
      </c>
      <c r="K166" s="8">
        <v>0.20934669747463275</v>
      </c>
      <c r="L166" s="8">
        <v>0.49</v>
      </c>
      <c r="M166" s="139" t="s">
        <v>356</v>
      </c>
      <c r="N166" s="61" t="s">
        <v>289</v>
      </c>
      <c r="O166" s="61" t="s">
        <v>296</v>
      </c>
    </row>
    <row r="167" spans="1:24" s="49" customFormat="1" x14ac:dyDescent="0.2">
      <c r="A167" s="67" t="s">
        <v>360</v>
      </c>
      <c r="B167" s="70"/>
      <c r="C167" s="47"/>
      <c r="D167" s="145"/>
      <c r="E167" s="50"/>
      <c r="F167" s="50"/>
      <c r="G167" s="50"/>
      <c r="H167" s="50"/>
      <c r="I167" s="50"/>
      <c r="J167" s="8"/>
      <c r="K167" s="50"/>
      <c r="L167" s="50"/>
      <c r="M167" s="145"/>
      <c r="N167" s="70"/>
      <c r="O167" s="70"/>
      <c r="P167" s="82"/>
      <c r="Q167" s="82"/>
      <c r="R167" s="82"/>
      <c r="S167" s="82"/>
      <c r="T167" s="82"/>
      <c r="U167" s="82"/>
      <c r="V167" s="161"/>
      <c r="W167" s="126"/>
      <c r="X167" s="126"/>
    </row>
    <row r="168" spans="1:24" x14ac:dyDescent="0.2">
      <c r="A168" s="63">
        <v>1744</v>
      </c>
      <c r="B168" s="75" t="s">
        <v>361</v>
      </c>
      <c r="C168" s="5">
        <v>41334</v>
      </c>
      <c r="D168" s="139" t="s">
        <v>362</v>
      </c>
      <c r="E168" s="8">
        <v>-34.972078582000002</v>
      </c>
      <c r="F168" s="8">
        <v>8.9999999999999993E-3</v>
      </c>
      <c r="G168" s="8">
        <v>-51.36815704</v>
      </c>
      <c r="H168" s="8">
        <v>2.5999999999999999E-2</v>
      </c>
      <c r="I168" s="8">
        <v>-0.43675002416432296</v>
      </c>
      <c r="J168" s="8">
        <v>0.24</v>
      </c>
      <c r="K168" s="8">
        <v>-1.3281027253724265</v>
      </c>
      <c r="L168" s="8">
        <v>0.70899999999999996</v>
      </c>
      <c r="M168" s="139" t="s">
        <v>407</v>
      </c>
      <c r="N168" s="61" t="s">
        <v>133</v>
      </c>
      <c r="O168" s="61" t="s">
        <v>363</v>
      </c>
    </row>
    <row r="169" spans="1:24" x14ac:dyDescent="0.2">
      <c r="A169" s="56">
        <v>1746</v>
      </c>
      <c r="B169" s="61" t="s">
        <v>359</v>
      </c>
      <c r="C169" s="5">
        <v>41335</v>
      </c>
      <c r="D169" s="147" t="s">
        <v>442</v>
      </c>
      <c r="E169" s="8">
        <v>-35.657033940999995</v>
      </c>
      <c r="F169" s="8">
        <v>7.0000000000000001E-3</v>
      </c>
      <c r="G169" s="8">
        <v>-149.89888767799999</v>
      </c>
      <c r="H169" s="8">
        <v>2.1999999999999999E-2</v>
      </c>
      <c r="I169" s="8">
        <v>3.2249191922832932</v>
      </c>
      <c r="J169" s="8">
        <v>0.17</v>
      </c>
      <c r="K169" s="8">
        <v>8.2336663430839785</v>
      </c>
      <c r="L169" s="8">
        <v>0.6</v>
      </c>
      <c r="M169" s="139" t="s">
        <v>358</v>
      </c>
      <c r="N169" s="61" t="s">
        <v>133</v>
      </c>
      <c r="O169" s="61" t="s">
        <v>309</v>
      </c>
    </row>
    <row r="170" spans="1:24" x14ac:dyDescent="0.2">
      <c r="A170" s="56">
        <v>1748</v>
      </c>
      <c r="B170" s="61" t="s">
        <v>364</v>
      </c>
      <c r="C170" s="5">
        <v>41336</v>
      </c>
      <c r="D170" s="139" t="s">
        <v>451</v>
      </c>
      <c r="E170" s="8">
        <v>-62.520578505999993</v>
      </c>
      <c r="F170" s="8">
        <v>6.0000000000000001E-3</v>
      </c>
      <c r="G170" s="8">
        <v>-255.899256697</v>
      </c>
      <c r="H170" s="8">
        <v>2.9000000000000001E-2</v>
      </c>
      <c r="I170" s="8">
        <v>4.858070253194402</v>
      </c>
      <c r="J170" s="8">
        <v>0.2</v>
      </c>
      <c r="K170" s="8">
        <v>10.836707840176096</v>
      </c>
      <c r="L170" s="8">
        <v>0.61799999999999999</v>
      </c>
      <c r="M170" s="139" t="s">
        <v>406</v>
      </c>
      <c r="N170" s="61" t="s">
        <v>133</v>
      </c>
      <c r="O170" s="61" t="s">
        <v>365</v>
      </c>
    </row>
    <row r="171" spans="1:24" x14ac:dyDescent="0.2">
      <c r="A171" s="56">
        <v>1750</v>
      </c>
      <c r="B171" s="61" t="s">
        <v>369</v>
      </c>
      <c r="C171" s="5">
        <v>41337</v>
      </c>
      <c r="D171" s="139" t="s">
        <v>450</v>
      </c>
      <c r="E171" s="8">
        <v>-63.198790282000004</v>
      </c>
      <c r="F171" s="8">
        <v>7.0000000000000001E-3</v>
      </c>
      <c r="G171" s="8">
        <v>-248.5199427</v>
      </c>
      <c r="H171" s="8">
        <v>4.1000000000000002E-2</v>
      </c>
      <c r="I171" s="8">
        <v>5.0482463322694127</v>
      </c>
      <c r="J171" s="8">
        <v>0.28599999999999998</v>
      </c>
      <c r="K171" s="8">
        <v>11.070730353921476</v>
      </c>
      <c r="L171" s="8">
        <v>0.876</v>
      </c>
      <c r="M171" s="139" t="s">
        <v>405</v>
      </c>
      <c r="N171" s="61" t="s">
        <v>206</v>
      </c>
      <c r="O171" s="61" t="s">
        <v>320</v>
      </c>
    </row>
    <row r="172" spans="1:24" x14ac:dyDescent="0.2">
      <c r="A172" s="56">
        <v>1752</v>
      </c>
      <c r="B172" s="61" t="s">
        <v>371</v>
      </c>
      <c r="C172" s="5">
        <v>41337</v>
      </c>
      <c r="D172" s="139" t="s">
        <v>372</v>
      </c>
      <c r="E172" s="8">
        <v>-35.017356925000001</v>
      </c>
      <c r="F172" s="8">
        <v>5.0000000000000001E-3</v>
      </c>
      <c r="G172" s="8">
        <v>-51.376624951000004</v>
      </c>
      <c r="H172" s="8">
        <v>1.4E-2</v>
      </c>
      <c r="I172" s="8">
        <v>-2.0501728237865002E-2</v>
      </c>
      <c r="J172" s="8">
        <v>0.13800000000000001</v>
      </c>
      <c r="K172" s="8">
        <v>-1.2267257007749777</v>
      </c>
      <c r="L172" s="8">
        <v>0.48499999999999999</v>
      </c>
      <c r="M172" s="139" t="s">
        <v>370</v>
      </c>
      <c r="N172" s="61" t="s">
        <v>126</v>
      </c>
      <c r="O172" s="61" t="s">
        <v>127</v>
      </c>
    </row>
    <row r="173" spans="1:24" x14ac:dyDescent="0.2">
      <c r="A173" s="56">
        <v>1754</v>
      </c>
      <c r="B173" s="61" t="s">
        <v>373</v>
      </c>
      <c r="C173" s="5">
        <v>41339</v>
      </c>
      <c r="D173" s="139" t="s">
        <v>449</v>
      </c>
      <c r="E173" s="8">
        <v>-69.281502148000001</v>
      </c>
      <c r="F173" s="8">
        <v>7.0000000000000001E-3</v>
      </c>
      <c r="G173" s="8">
        <v>-265.76625476999999</v>
      </c>
      <c r="H173" s="8">
        <v>2.9000000000000001E-2</v>
      </c>
      <c r="I173" s="8">
        <v>4.9257253324197503</v>
      </c>
      <c r="J173" s="8">
        <v>0.20599999999999999</v>
      </c>
      <c r="K173" s="8">
        <v>13.071393852229107</v>
      </c>
      <c r="L173" s="8">
        <v>0.624</v>
      </c>
      <c r="M173" s="139" t="s">
        <v>294</v>
      </c>
      <c r="N173" s="61" t="s">
        <v>374</v>
      </c>
      <c r="O173" s="61" t="s">
        <v>404</v>
      </c>
    </row>
    <row r="174" spans="1:24" x14ac:dyDescent="0.2">
      <c r="A174" s="56">
        <v>1756</v>
      </c>
      <c r="B174" s="61" t="s">
        <v>375</v>
      </c>
      <c r="C174" s="5">
        <v>41340</v>
      </c>
      <c r="D174" s="139" t="s">
        <v>475</v>
      </c>
      <c r="E174" s="8">
        <v>-64.058115430000001</v>
      </c>
      <c r="F174" s="8">
        <v>8.9999999999999993E-3</v>
      </c>
      <c r="G174" s="8">
        <v>-241.64682160500001</v>
      </c>
      <c r="H174" s="8">
        <v>4.4999999999999998E-2</v>
      </c>
      <c r="I174" s="8">
        <v>4.4278292200263802</v>
      </c>
      <c r="J174" s="8">
        <v>0.30599999999999999</v>
      </c>
      <c r="K174" s="8">
        <v>11.293579228028205</v>
      </c>
      <c r="L174" s="8">
        <v>0.93899999999999995</v>
      </c>
      <c r="M174" s="139" t="s">
        <v>402</v>
      </c>
      <c r="N174" s="61" t="s">
        <v>148</v>
      </c>
      <c r="O174" s="61" t="s">
        <v>403</v>
      </c>
    </row>
    <row r="175" spans="1:24" x14ac:dyDescent="0.2">
      <c r="A175" s="56">
        <v>1758</v>
      </c>
      <c r="B175" s="61" t="s">
        <v>376</v>
      </c>
      <c r="C175" s="5">
        <v>41340</v>
      </c>
      <c r="D175" s="139" t="s">
        <v>377</v>
      </c>
      <c r="E175" s="8">
        <v>-35.006759866000003</v>
      </c>
      <c r="F175" s="8">
        <v>1.9E-2</v>
      </c>
      <c r="G175" s="8">
        <v>-51.466949335000002</v>
      </c>
      <c r="H175" s="8">
        <v>2.7E-2</v>
      </c>
      <c r="I175" s="8">
        <v>7.958351817149989E-2</v>
      </c>
      <c r="J175" s="8">
        <v>0.17299999999999999</v>
      </c>
      <c r="K175" s="8">
        <v>-0.57149319854965519</v>
      </c>
      <c r="L175" s="8">
        <v>0.77200000000000002</v>
      </c>
      <c r="M175" s="139" t="s">
        <v>294</v>
      </c>
      <c r="N175" s="61" t="s">
        <v>133</v>
      </c>
      <c r="O175" s="61" t="s">
        <v>212</v>
      </c>
    </row>
    <row r="176" spans="1:24" x14ac:dyDescent="0.2">
      <c r="A176" s="56">
        <v>1760</v>
      </c>
      <c r="B176" s="61" t="s">
        <v>378</v>
      </c>
      <c r="C176" s="5">
        <v>41341</v>
      </c>
      <c r="D176" s="139" t="s">
        <v>448</v>
      </c>
      <c r="E176" s="8">
        <v>-63.398207664999994</v>
      </c>
      <c r="F176" s="8">
        <v>2.1000000000000001E-2</v>
      </c>
      <c r="G176" s="8">
        <v>-252.68897754899999</v>
      </c>
      <c r="H176" s="8">
        <v>2.8000000000000001E-2</v>
      </c>
      <c r="I176" s="8">
        <v>4.4289794679228667</v>
      </c>
      <c r="J176" s="8">
        <v>0.249</v>
      </c>
      <c r="K176" s="8">
        <v>9.5828869416831886</v>
      </c>
      <c r="L176" s="8">
        <v>0.64600000000000002</v>
      </c>
      <c r="M176" s="139" t="s">
        <v>400</v>
      </c>
      <c r="N176" s="61" t="s">
        <v>379</v>
      </c>
      <c r="O176" s="61" t="s">
        <v>401</v>
      </c>
    </row>
    <row r="177" spans="1:24" x14ac:dyDescent="0.2">
      <c r="A177" s="56">
        <v>1762</v>
      </c>
      <c r="B177" s="61" t="s">
        <v>380</v>
      </c>
      <c r="C177" s="5">
        <v>41342</v>
      </c>
      <c r="D177" s="139" t="s">
        <v>447</v>
      </c>
      <c r="E177" s="8">
        <v>-64.176609816999999</v>
      </c>
      <c r="F177" s="8">
        <v>1.2999999999999999E-2</v>
      </c>
      <c r="G177" s="8">
        <v>-257.91461951500003</v>
      </c>
      <c r="H177" s="8">
        <v>3.5999999999999997E-2</v>
      </c>
      <c r="I177" s="8">
        <v>4.3372326995299026</v>
      </c>
      <c r="J177" s="8">
        <v>0.312</v>
      </c>
      <c r="K177" s="8">
        <v>9.6256185595322563</v>
      </c>
      <c r="L177" s="8">
        <v>0.79700000000000004</v>
      </c>
      <c r="M177" s="139" t="s">
        <v>381</v>
      </c>
      <c r="N177" s="61" t="s">
        <v>262</v>
      </c>
      <c r="O177" s="61" t="s">
        <v>320</v>
      </c>
    </row>
    <row r="178" spans="1:24" x14ac:dyDescent="0.2">
      <c r="A178" s="64">
        <v>1764</v>
      </c>
      <c r="B178" s="76" t="s">
        <v>382</v>
      </c>
      <c r="C178" s="32">
        <v>41342</v>
      </c>
      <c r="D178" s="148" t="s">
        <v>446</v>
      </c>
      <c r="E178" s="33">
        <v>-67.258427248000004</v>
      </c>
      <c r="F178" s="33">
        <v>8.0000000000000002E-3</v>
      </c>
      <c r="G178" s="33">
        <v>-262.60772396700003</v>
      </c>
      <c r="H178" s="33">
        <v>2.9000000000000001E-2</v>
      </c>
      <c r="I178" s="33">
        <v>5.1693460047752549</v>
      </c>
      <c r="J178" s="8">
        <v>0.16500000000000001</v>
      </c>
      <c r="K178" s="33">
        <v>12.996927675644088</v>
      </c>
      <c r="L178" s="33">
        <v>0.67100000000000004</v>
      </c>
      <c r="M178" s="148" t="s">
        <v>293</v>
      </c>
      <c r="N178" s="64" t="s">
        <v>206</v>
      </c>
      <c r="O178" s="64" t="s">
        <v>334</v>
      </c>
    </row>
    <row r="179" spans="1:24" s="34" customFormat="1" x14ac:dyDescent="0.2">
      <c r="A179" s="64">
        <v>1766</v>
      </c>
      <c r="B179" s="76" t="s">
        <v>395</v>
      </c>
      <c r="C179" s="32">
        <v>41346</v>
      </c>
      <c r="D179" s="148" t="s">
        <v>393</v>
      </c>
      <c r="E179" s="33">
        <v>-35.011576711000004</v>
      </c>
      <c r="F179" s="33">
        <v>8.0000000000000002E-3</v>
      </c>
      <c r="G179" s="33">
        <v>-51.464126698000001</v>
      </c>
      <c r="H179" s="33">
        <v>0.03</v>
      </c>
      <c r="I179" s="33">
        <v>0.24697327047618067</v>
      </c>
      <c r="J179" s="8">
        <v>0.192</v>
      </c>
      <c r="K179" s="33">
        <v>0.25425646102039678</v>
      </c>
      <c r="L179" s="33">
        <v>0.78500000000000003</v>
      </c>
      <c r="M179" s="148" t="s">
        <v>392</v>
      </c>
      <c r="N179" s="64" t="s">
        <v>206</v>
      </c>
      <c r="O179" s="64" t="s">
        <v>394</v>
      </c>
      <c r="P179" s="191"/>
      <c r="Q179" s="191"/>
      <c r="R179" s="191"/>
      <c r="S179" s="191"/>
      <c r="T179" s="191"/>
      <c r="U179" s="191"/>
      <c r="V179" s="178"/>
      <c r="W179" s="127"/>
      <c r="X179" s="127"/>
    </row>
    <row r="180" spans="1:24" x14ac:dyDescent="0.2">
      <c r="A180" s="56">
        <v>1768</v>
      </c>
      <c r="B180" s="61" t="s">
        <v>396</v>
      </c>
      <c r="C180" s="5">
        <v>41346</v>
      </c>
      <c r="D180" s="139" t="s">
        <v>445</v>
      </c>
      <c r="E180" s="8">
        <v>-72.894135898000002</v>
      </c>
      <c r="F180" s="8">
        <v>1.0999999999999999E-2</v>
      </c>
      <c r="G180" s="8">
        <v>-272.82190639099997</v>
      </c>
      <c r="H180" s="8">
        <v>3.1E-2</v>
      </c>
      <c r="I180" s="8">
        <v>5.5160638964515396</v>
      </c>
      <c r="J180" s="8">
        <v>0.16800000000000001</v>
      </c>
      <c r="K180" s="8">
        <v>13.810604522803915</v>
      </c>
      <c r="L180" s="8">
        <v>0.53400000000000003</v>
      </c>
      <c r="M180" s="139" t="s">
        <v>390</v>
      </c>
      <c r="N180" s="61" t="s">
        <v>133</v>
      </c>
      <c r="O180" s="61" t="s">
        <v>391</v>
      </c>
    </row>
    <row r="181" spans="1:24" x14ac:dyDescent="0.2">
      <c r="A181" s="62">
        <v>1770</v>
      </c>
      <c r="B181" s="74" t="s">
        <v>397</v>
      </c>
      <c r="C181" s="31">
        <v>41347</v>
      </c>
      <c r="D181" s="146" t="s">
        <v>444</v>
      </c>
      <c r="E181" s="27">
        <v>-62.927120223999999</v>
      </c>
      <c r="F181" s="27">
        <v>7.3999999999999996E-2</v>
      </c>
      <c r="G181" s="27">
        <v>-254.85958540199999</v>
      </c>
      <c r="H181" s="27">
        <v>5.5E-2</v>
      </c>
      <c r="I181" s="27">
        <v>4.9467353735193065</v>
      </c>
      <c r="J181" s="8">
        <v>0.51500000000000001</v>
      </c>
      <c r="K181" s="27">
        <v>13.327497408743838</v>
      </c>
      <c r="L181" s="27">
        <v>1.4450000000000001</v>
      </c>
      <c r="M181" s="146" t="s">
        <v>388</v>
      </c>
      <c r="N181" s="74" t="s">
        <v>188</v>
      </c>
      <c r="O181" s="74" t="s">
        <v>350</v>
      </c>
      <c r="V181" s="160" t="s">
        <v>389</v>
      </c>
    </row>
    <row r="182" spans="1:24" x14ac:dyDescent="0.2">
      <c r="A182" s="56">
        <v>1772</v>
      </c>
      <c r="B182" s="61" t="s">
        <v>398</v>
      </c>
      <c r="C182" s="5">
        <v>41347</v>
      </c>
      <c r="D182" s="139" t="s">
        <v>443</v>
      </c>
      <c r="E182" s="8">
        <v>-74.468280844000006</v>
      </c>
      <c r="F182" s="8">
        <v>2.5999999999999999E-2</v>
      </c>
      <c r="G182" s="8">
        <v>-276.30409957000001</v>
      </c>
      <c r="H182" s="8">
        <v>3.5999999999999997E-2</v>
      </c>
      <c r="I182" s="8">
        <v>5.3050842961832601</v>
      </c>
      <c r="J182" s="8">
        <v>0.249</v>
      </c>
      <c r="K182" s="8">
        <v>15.115703308753892</v>
      </c>
      <c r="L182" s="8">
        <v>0.67100000000000004</v>
      </c>
      <c r="M182" s="139" t="s">
        <v>383</v>
      </c>
      <c r="N182" s="61" t="s">
        <v>262</v>
      </c>
      <c r="O182" s="61" t="s">
        <v>384</v>
      </c>
    </row>
    <row r="183" spans="1:24" x14ac:dyDescent="0.2">
      <c r="A183" s="56">
        <v>1774</v>
      </c>
      <c r="B183" s="61" t="s">
        <v>399</v>
      </c>
      <c r="C183" s="5">
        <v>41348</v>
      </c>
      <c r="D183" s="139" t="s">
        <v>385</v>
      </c>
      <c r="E183" s="8">
        <v>-35.032770829</v>
      </c>
      <c r="F183" s="8">
        <v>0.01</v>
      </c>
      <c r="G183" s="8">
        <v>-51.388856378000007</v>
      </c>
      <c r="H183" s="8">
        <v>2.3E-2</v>
      </c>
      <c r="I183" s="8">
        <v>0.46980110766114969</v>
      </c>
      <c r="J183" s="8">
        <v>0.33400000000000002</v>
      </c>
      <c r="K183" s="8">
        <v>-1.5545460516186438E-2</v>
      </c>
      <c r="L183" s="8">
        <v>0.67900000000000005</v>
      </c>
      <c r="M183" s="139" t="s">
        <v>386</v>
      </c>
      <c r="N183" s="61" t="s">
        <v>133</v>
      </c>
      <c r="O183" s="61" t="s">
        <v>387</v>
      </c>
    </row>
    <row r="184" spans="1:24" x14ac:dyDescent="0.2">
      <c r="A184" s="56">
        <v>1776</v>
      </c>
      <c r="B184" s="61" t="s">
        <v>423</v>
      </c>
      <c r="C184" s="5">
        <v>41359</v>
      </c>
      <c r="D184" s="139" t="s">
        <v>424</v>
      </c>
      <c r="E184" s="8">
        <v>-34.881521895999995</v>
      </c>
      <c r="F184" s="8">
        <v>3.2000000000000001E-2</v>
      </c>
      <c r="G184" s="8">
        <v>-51.344635064999999</v>
      </c>
      <c r="H184" s="8">
        <v>2.3E-2</v>
      </c>
      <c r="I184" s="8">
        <v>8.7192033298100213E-2</v>
      </c>
      <c r="J184" s="8">
        <v>0.16700000000000001</v>
      </c>
      <c r="K184" s="8">
        <v>-1.034612889387776</v>
      </c>
      <c r="L184" s="8">
        <v>0.57999999999999996</v>
      </c>
      <c r="M184" s="139" t="s">
        <v>253</v>
      </c>
      <c r="N184" s="61" t="s">
        <v>236</v>
      </c>
      <c r="O184" s="61" t="s">
        <v>265</v>
      </c>
    </row>
    <row r="185" spans="1:24" x14ac:dyDescent="0.2">
      <c r="A185" s="56">
        <v>1778</v>
      </c>
      <c r="B185" s="61" t="s">
        <v>425</v>
      </c>
      <c r="C185" s="5">
        <v>41361</v>
      </c>
      <c r="D185" s="149" t="s">
        <v>606</v>
      </c>
      <c r="E185" s="8">
        <v>-38.051969275000005</v>
      </c>
      <c r="F185" s="8">
        <v>3.5000000000000003E-2</v>
      </c>
      <c r="G185" s="8">
        <v>-180.312801353</v>
      </c>
      <c r="H185" s="8">
        <v>2.1999999999999999E-2</v>
      </c>
      <c r="I185" s="8">
        <v>2.5878791249345223</v>
      </c>
      <c r="J185" s="8">
        <v>0.14000000000000001</v>
      </c>
      <c r="K185" s="8">
        <v>8.9438778944759267</v>
      </c>
      <c r="L185" s="8">
        <v>0.38900000000000001</v>
      </c>
      <c r="M185" s="139" t="s">
        <v>331</v>
      </c>
      <c r="N185" s="61" t="s">
        <v>143</v>
      </c>
      <c r="O185" s="61" t="s">
        <v>127</v>
      </c>
    </row>
    <row r="186" spans="1:24" x14ac:dyDescent="0.2">
      <c r="A186" s="56">
        <v>1780</v>
      </c>
      <c r="B186" s="61" t="s">
        <v>426</v>
      </c>
      <c r="C186" s="5">
        <v>41362</v>
      </c>
      <c r="D186" s="139" t="s">
        <v>438</v>
      </c>
      <c r="E186" s="8">
        <v>-38.378</v>
      </c>
      <c r="F186" s="8">
        <v>3.2000000000000001E-2</v>
      </c>
      <c r="G186" s="8">
        <v>-175.79900000000001</v>
      </c>
      <c r="H186" s="8">
        <v>2.7E-2</v>
      </c>
      <c r="I186" s="8">
        <v>2.9369999999999998</v>
      </c>
      <c r="J186" s="8">
        <v>0.17</v>
      </c>
      <c r="K186" s="8">
        <v>8.1790000000000003</v>
      </c>
      <c r="L186" s="8">
        <v>0.57299999999999995</v>
      </c>
      <c r="M186" s="139" t="s">
        <v>427</v>
      </c>
      <c r="N186" s="61" t="s">
        <v>236</v>
      </c>
      <c r="O186" s="61" t="s">
        <v>257</v>
      </c>
    </row>
    <row r="187" spans="1:24" x14ac:dyDescent="0.2">
      <c r="A187" s="56">
        <v>1782</v>
      </c>
      <c r="B187" s="61" t="s">
        <v>428</v>
      </c>
      <c r="C187" s="5">
        <v>41363</v>
      </c>
      <c r="D187" s="139" t="s">
        <v>437</v>
      </c>
      <c r="E187" s="8">
        <v>-10.839685132000001</v>
      </c>
      <c r="F187" s="8">
        <v>3.7999999999999999E-2</v>
      </c>
      <c r="G187" s="8">
        <v>-127.84092040199999</v>
      </c>
      <c r="H187" s="8">
        <v>2.5000000000000001E-2</v>
      </c>
      <c r="I187" s="8">
        <v>1.9463625947857555</v>
      </c>
      <c r="J187" s="8">
        <v>0.186</v>
      </c>
      <c r="K187" s="8">
        <v>11.605285203216686</v>
      </c>
      <c r="L187" s="8">
        <v>0.54200000000000004</v>
      </c>
      <c r="M187" s="139" t="s">
        <v>427</v>
      </c>
      <c r="N187" s="61" t="s">
        <v>143</v>
      </c>
      <c r="O187" s="61" t="s">
        <v>257</v>
      </c>
    </row>
    <row r="188" spans="1:24" x14ac:dyDescent="0.2">
      <c r="A188" s="56">
        <v>1784</v>
      </c>
      <c r="B188" s="61" t="s">
        <v>416</v>
      </c>
      <c r="C188" s="5">
        <v>41366</v>
      </c>
      <c r="D188" s="139" t="s">
        <v>417</v>
      </c>
      <c r="E188" s="8">
        <v>-34.855510932999998</v>
      </c>
      <c r="F188" s="8">
        <v>6.7000000000000004E-2</v>
      </c>
      <c r="G188" s="8">
        <v>-51.355925613000004</v>
      </c>
      <c r="H188" s="8">
        <v>2.4E-2</v>
      </c>
      <c r="I188" s="8">
        <v>-0.21396500620673997</v>
      </c>
      <c r="J188" s="8">
        <v>0.13</v>
      </c>
      <c r="K188" s="8">
        <v>-1.8433247978453249</v>
      </c>
      <c r="L188" s="8">
        <v>0.53600000000000003</v>
      </c>
      <c r="M188" s="139" t="s">
        <v>415</v>
      </c>
      <c r="N188" s="61" t="s">
        <v>126</v>
      </c>
      <c r="O188" s="61" t="s">
        <v>127</v>
      </c>
    </row>
    <row r="189" spans="1:24" x14ac:dyDescent="0.2">
      <c r="A189" s="56">
        <v>1786</v>
      </c>
      <c r="B189" s="61" t="s">
        <v>419</v>
      </c>
      <c r="C189" s="5">
        <v>41368</v>
      </c>
      <c r="D189" s="147" t="s">
        <v>439</v>
      </c>
      <c r="E189" s="8">
        <v>-35.601158538999996</v>
      </c>
      <c r="F189" s="8">
        <v>6.5000000000000002E-2</v>
      </c>
      <c r="G189" s="8">
        <v>-149.96663096600003</v>
      </c>
      <c r="H189" s="8">
        <v>3.4000000000000002E-2</v>
      </c>
      <c r="I189" s="8">
        <v>2.9006605380961226</v>
      </c>
      <c r="J189" s="8">
        <v>0.182</v>
      </c>
      <c r="K189" s="8">
        <v>9.7764278641452318</v>
      </c>
      <c r="L189" s="8">
        <v>0.64100000000000001</v>
      </c>
      <c r="M189" s="139" t="s">
        <v>418</v>
      </c>
      <c r="N189" s="61" t="s">
        <v>236</v>
      </c>
      <c r="O189" s="61" t="s">
        <v>324</v>
      </c>
    </row>
    <row r="190" spans="1:24" x14ac:dyDescent="0.2">
      <c r="A190" s="56">
        <v>1788</v>
      </c>
      <c r="B190" s="61" t="s">
        <v>420</v>
      </c>
      <c r="C190" s="5">
        <v>41369</v>
      </c>
      <c r="D190" s="147" t="s">
        <v>440</v>
      </c>
      <c r="E190" s="8">
        <v>-35.914253463999998</v>
      </c>
      <c r="F190" s="8">
        <v>6.9000000000000006E-2</v>
      </c>
      <c r="G190" s="8">
        <v>-166.632420693</v>
      </c>
      <c r="H190" s="8">
        <v>4.1000000000000002E-2</v>
      </c>
      <c r="I190" s="8">
        <v>2.5690740991857197</v>
      </c>
      <c r="J190" s="8">
        <v>0.20300000000000001</v>
      </c>
      <c r="K190" s="8">
        <v>7.3622800555745993</v>
      </c>
      <c r="L190" s="8">
        <v>0.63200000000000001</v>
      </c>
      <c r="M190" s="139" t="s">
        <v>418</v>
      </c>
      <c r="N190" s="61" t="s">
        <v>129</v>
      </c>
      <c r="O190" s="61" t="s">
        <v>309</v>
      </c>
    </row>
    <row r="191" spans="1:24" x14ac:dyDescent="0.2">
      <c r="A191" s="56">
        <v>1790</v>
      </c>
      <c r="B191" s="61" t="s">
        <v>421</v>
      </c>
      <c r="C191" s="5">
        <v>41370</v>
      </c>
      <c r="D191" s="147" t="s">
        <v>441</v>
      </c>
      <c r="E191" s="8">
        <v>-36.052978599999996</v>
      </c>
      <c r="F191" s="8">
        <v>3.9E-2</v>
      </c>
      <c r="G191" s="8">
        <v>-182.83059355700001</v>
      </c>
      <c r="H191" s="8">
        <v>3.2000000000000001E-2</v>
      </c>
      <c r="I191" s="8">
        <v>2.0713683711544029</v>
      </c>
      <c r="J191" s="8">
        <v>0.191</v>
      </c>
      <c r="K191" s="8">
        <v>9.7982980102602202</v>
      </c>
      <c r="L191" s="8">
        <v>0.55100000000000005</v>
      </c>
      <c r="M191" s="139" t="s">
        <v>422</v>
      </c>
      <c r="N191" s="61" t="s">
        <v>133</v>
      </c>
      <c r="O191" s="61" t="s">
        <v>324</v>
      </c>
    </row>
    <row r="192" spans="1:24" x14ac:dyDescent="0.2">
      <c r="A192" s="56">
        <v>1792</v>
      </c>
      <c r="B192" s="61" t="s">
        <v>429</v>
      </c>
      <c r="C192" s="5">
        <v>41371</v>
      </c>
      <c r="D192" s="149" t="s">
        <v>478</v>
      </c>
      <c r="E192" s="8">
        <v>-55.112000000000002</v>
      </c>
      <c r="F192" s="8">
        <v>1.6E-2</v>
      </c>
      <c r="G192" s="8">
        <v>-270.41000000000003</v>
      </c>
      <c r="H192" s="8">
        <v>1.9E-2</v>
      </c>
      <c r="I192" s="8">
        <v>5.58</v>
      </c>
      <c r="J192" s="8">
        <v>0.109</v>
      </c>
      <c r="K192" s="8">
        <v>13.824999999999999</v>
      </c>
      <c r="L192" s="8">
        <v>0.38400000000000001</v>
      </c>
      <c r="M192" s="139" t="s">
        <v>430</v>
      </c>
      <c r="N192" s="61" t="s">
        <v>126</v>
      </c>
      <c r="O192" s="61" t="s">
        <v>127</v>
      </c>
      <c r="V192" s="160" t="s">
        <v>608</v>
      </c>
    </row>
    <row r="193" spans="1:22" x14ac:dyDescent="0.2">
      <c r="A193" s="56">
        <v>1794</v>
      </c>
      <c r="B193" s="61" t="s">
        <v>431</v>
      </c>
      <c r="C193" s="5">
        <v>41373</v>
      </c>
      <c r="D193" s="149" t="s">
        <v>479</v>
      </c>
      <c r="E193" s="8">
        <v>-52.720225669000001</v>
      </c>
      <c r="F193" s="8">
        <v>1.4E-2</v>
      </c>
      <c r="G193" s="8">
        <v>-256.286898845</v>
      </c>
      <c r="H193" s="8">
        <v>1.7999999999999999E-2</v>
      </c>
      <c r="I193" s="8">
        <v>4.7391977248936179</v>
      </c>
      <c r="J193" s="8">
        <v>0.107</v>
      </c>
      <c r="K193" s="8">
        <v>12.733487162509105</v>
      </c>
      <c r="L193" s="8">
        <v>0.36599999999999999</v>
      </c>
      <c r="M193" s="139" t="s">
        <v>432</v>
      </c>
      <c r="N193" s="61" t="s">
        <v>126</v>
      </c>
      <c r="O193" s="61" t="s">
        <v>127</v>
      </c>
      <c r="V193" s="160" t="s">
        <v>608</v>
      </c>
    </row>
    <row r="194" spans="1:22" x14ac:dyDescent="0.2">
      <c r="A194" s="56">
        <v>1796</v>
      </c>
      <c r="B194" s="61" t="s">
        <v>433</v>
      </c>
      <c r="C194" s="5">
        <v>41375</v>
      </c>
      <c r="D194" s="149" t="s">
        <v>480</v>
      </c>
      <c r="E194" s="8">
        <v>-53.787999999999997</v>
      </c>
      <c r="F194" s="8">
        <v>1.7000000000000001E-2</v>
      </c>
      <c r="G194" s="8">
        <v>-242.352</v>
      </c>
      <c r="H194" s="8">
        <v>1.9E-2</v>
      </c>
      <c r="I194" s="8">
        <v>5.218</v>
      </c>
      <c r="J194" s="8">
        <v>0.161</v>
      </c>
      <c r="K194" s="8">
        <v>12.593</v>
      </c>
      <c r="L194" s="8">
        <v>0.39</v>
      </c>
      <c r="M194" s="139" t="s">
        <v>434</v>
      </c>
      <c r="N194" s="61" t="s">
        <v>126</v>
      </c>
      <c r="O194" s="61" t="s">
        <v>127</v>
      </c>
      <c r="V194" s="160" t="s">
        <v>608</v>
      </c>
    </row>
    <row r="195" spans="1:22" x14ac:dyDescent="0.2">
      <c r="A195" s="56">
        <v>1798</v>
      </c>
      <c r="B195" s="61" t="s">
        <v>436</v>
      </c>
      <c r="C195" s="5">
        <v>41376</v>
      </c>
      <c r="D195" s="139" t="s">
        <v>477</v>
      </c>
      <c r="E195" s="8">
        <v>-55.669098177999999</v>
      </c>
      <c r="F195" s="8">
        <v>1.4E-2</v>
      </c>
      <c r="G195" s="8">
        <v>-308.31280314999998</v>
      </c>
      <c r="H195" s="8">
        <v>2.3E-2</v>
      </c>
      <c r="I195" s="8">
        <v>1.5325346385364202</v>
      </c>
      <c r="J195" s="8">
        <v>9.4E-2</v>
      </c>
      <c r="K195" s="8">
        <v>-23.125762347955824</v>
      </c>
      <c r="L195" s="8">
        <v>0.31900000000000001</v>
      </c>
      <c r="M195" s="139" t="s">
        <v>435</v>
      </c>
      <c r="N195" s="61" t="s">
        <v>126</v>
      </c>
      <c r="O195" s="61" t="s">
        <v>127</v>
      </c>
    </row>
    <row r="196" spans="1:22" x14ac:dyDescent="0.2">
      <c r="A196" s="56">
        <v>1800</v>
      </c>
      <c r="B196" s="61" t="s">
        <v>472</v>
      </c>
      <c r="C196" s="5">
        <v>41378</v>
      </c>
      <c r="D196" s="139" t="s">
        <v>473</v>
      </c>
      <c r="E196" s="8">
        <v>-34.978822164999997</v>
      </c>
      <c r="F196" s="8">
        <v>2.4E-2</v>
      </c>
      <c r="G196" s="8">
        <v>-51.392619894000006</v>
      </c>
      <c r="H196" s="8">
        <v>2.7E-2</v>
      </c>
      <c r="I196" s="8">
        <v>0.12772467910182606</v>
      </c>
      <c r="J196" s="8">
        <v>0.161</v>
      </c>
      <c r="K196" s="8">
        <v>-1.4849787891900723</v>
      </c>
      <c r="L196" s="8">
        <v>0.69599999999999995</v>
      </c>
      <c r="M196" s="139" t="s">
        <v>471</v>
      </c>
      <c r="N196" s="61" t="s">
        <v>236</v>
      </c>
      <c r="O196" s="61" t="s">
        <v>127</v>
      </c>
    </row>
    <row r="197" spans="1:22" x14ac:dyDescent="0.2">
      <c r="A197" s="56">
        <v>1802</v>
      </c>
      <c r="B197" s="61" t="s">
        <v>474</v>
      </c>
      <c r="C197" s="5">
        <v>41379</v>
      </c>
      <c r="D197" s="147" t="s">
        <v>476</v>
      </c>
      <c r="E197" s="8">
        <v>-40.332263697999998</v>
      </c>
      <c r="F197" s="8">
        <v>5.6000000000000001E-2</v>
      </c>
      <c r="G197" s="8">
        <v>-228.43217605000001</v>
      </c>
      <c r="H197" s="8">
        <v>3.2000000000000001E-2</v>
      </c>
      <c r="I197" s="8">
        <v>2.6513515747854655</v>
      </c>
      <c r="J197" s="8">
        <v>0.27800000000000002</v>
      </c>
      <c r="K197" s="8">
        <v>1.3503316359044781</v>
      </c>
      <c r="L197" s="8">
        <v>0.69</v>
      </c>
      <c r="M197" s="139" t="s">
        <v>418</v>
      </c>
      <c r="N197" s="61" t="s">
        <v>133</v>
      </c>
      <c r="O197" s="61" t="s">
        <v>212</v>
      </c>
    </row>
    <row r="198" spans="1:22" x14ac:dyDescent="0.2">
      <c r="A198" s="56" t="s">
        <v>488</v>
      </c>
      <c r="B198" s="61" t="s">
        <v>490</v>
      </c>
      <c r="C198" s="5">
        <v>41380</v>
      </c>
      <c r="D198" s="139" t="s">
        <v>491</v>
      </c>
      <c r="E198" s="8">
        <v>-39.448854324999999</v>
      </c>
      <c r="F198" s="8">
        <v>5.1999999999999998E-2</v>
      </c>
      <c r="G198" s="8">
        <v>-397.29173018</v>
      </c>
      <c r="H198" s="8">
        <v>2.1999999999999999E-2</v>
      </c>
      <c r="I198" s="8">
        <v>4.3903015184845184</v>
      </c>
      <c r="J198" s="8">
        <v>0.124</v>
      </c>
      <c r="K198" s="8">
        <v>14.907700056197459</v>
      </c>
      <c r="L198" s="8">
        <v>0.29699999999999999</v>
      </c>
      <c r="M198" s="139" t="s">
        <v>489</v>
      </c>
      <c r="N198" s="61" t="s">
        <v>126</v>
      </c>
      <c r="O198" s="61" t="s">
        <v>127</v>
      </c>
    </row>
    <row r="199" spans="1:22" x14ac:dyDescent="0.2">
      <c r="A199" s="56">
        <v>1807</v>
      </c>
      <c r="B199" s="61" t="s">
        <v>492</v>
      </c>
      <c r="C199" s="5">
        <v>41383</v>
      </c>
      <c r="D199" s="139" t="s">
        <v>497</v>
      </c>
      <c r="E199" s="8">
        <v>-39.529777320999997</v>
      </c>
      <c r="F199" s="8">
        <v>4.8000000000000001E-2</v>
      </c>
      <c r="G199" s="8">
        <v>-395.17381155099997</v>
      </c>
      <c r="H199" s="8">
        <v>2.3E-2</v>
      </c>
      <c r="I199" s="8">
        <v>4.3449953257581608</v>
      </c>
      <c r="J199" s="8">
        <v>0.128</v>
      </c>
      <c r="K199" s="8">
        <v>16.49025150855654</v>
      </c>
      <c r="L199" s="8">
        <v>0.32200000000000001</v>
      </c>
      <c r="M199" s="139" t="s">
        <v>493</v>
      </c>
      <c r="N199" s="61" t="s">
        <v>236</v>
      </c>
      <c r="O199" s="61" t="s">
        <v>127</v>
      </c>
    </row>
    <row r="200" spans="1:22" x14ac:dyDescent="0.2">
      <c r="A200" s="56">
        <v>1809</v>
      </c>
      <c r="B200" s="61" t="s">
        <v>498</v>
      </c>
      <c r="C200" s="5">
        <v>41376</v>
      </c>
      <c r="D200" s="139" t="s">
        <v>499</v>
      </c>
      <c r="E200" s="8">
        <v>-53.602671673000003</v>
      </c>
      <c r="F200" s="8">
        <v>3.1E-2</v>
      </c>
      <c r="G200" s="8">
        <v>-324.71326499899999</v>
      </c>
      <c r="H200" s="8">
        <v>2.3E-2</v>
      </c>
      <c r="I200" s="8">
        <v>5.0454371976140777</v>
      </c>
      <c r="J200" s="8">
        <v>0.19900000000000001</v>
      </c>
      <c r="K200" s="8">
        <v>-11.086096250798928</v>
      </c>
      <c r="L200" s="8">
        <v>0.31900000000000001</v>
      </c>
      <c r="M200" s="139" t="s">
        <v>435</v>
      </c>
      <c r="N200" s="61" t="s">
        <v>126</v>
      </c>
      <c r="O200" s="61" t="s">
        <v>127</v>
      </c>
    </row>
    <row r="201" spans="1:22" x14ac:dyDescent="0.2">
      <c r="A201" s="56">
        <v>1811</v>
      </c>
      <c r="B201" s="61" t="s">
        <v>500</v>
      </c>
      <c r="C201" s="5">
        <v>41387</v>
      </c>
      <c r="D201" s="139" t="s">
        <v>501</v>
      </c>
      <c r="E201" s="8">
        <v>-54.463000000000001</v>
      </c>
      <c r="F201" s="8">
        <v>1.4E-2</v>
      </c>
      <c r="G201" s="8">
        <v>-329.97500000000002</v>
      </c>
      <c r="H201" s="8">
        <v>2.1000000000000001E-2</v>
      </c>
      <c r="I201" s="8">
        <v>3.8959999999999999</v>
      </c>
      <c r="J201" s="8">
        <v>0.14599999999999999</v>
      </c>
      <c r="K201" s="8">
        <v>-13.8</v>
      </c>
      <c r="L201" s="8">
        <v>0.38900000000000001</v>
      </c>
      <c r="M201" s="139" t="s">
        <v>435</v>
      </c>
      <c r="N201" s="61" t="s">
        <v>126</v>
      </c>
      <c r="O201" s="61" t="s">
        <v>127</v>
      </c>
    </row>
    <row r="202" spans="1:22" x14ac:dyDescent="0.2">
      <c r="A202" s="56">
        <v>1813</v>
      </c>
      <c r="B202" s="61" t="s">
        <v>503</v>
      </c>
      <c r="C202" s="5">
        <v>41389</v>
      </c>
      <c r="D202" s="149" t="s">
        <v>504</v>
      </c>
      <c r="E202" s="8">
        <v>-54.058345210000006</v>
      </c>
      <c r="F202" s="8">
        <v>1.2999999999999999E-2</v>
      </c>
      <c r="G202" s="8">
        <v>-255.35354687699996</v>
      </c>
      <c r="H202" s="8">
        <v>1.6E-2</v>
      </c>
      <c r="I202" s="8">
        <v>4.7333563647318222</v>
      </c>
      <c r="J202" s="8">
        <v>0.112</v>
      </c>
      <c r="K202" s="8">
        <v>11.673437088637773</v>
      </c>
      <c r="L202" s="8">
        <v>0.41199999999999998</v>
      </c>
      <c r="M202" s="139" t="s">
        <v>502</v>
      </c>
      <c r="N202" s="61" t="s">
        <v>126</v>
      </c>
      <c r="O202" s="61" t="s">
        <v>127</v>
      </c>
      <c r="V202" s="160" t="s">
        <v>608</v>
      </c>
    </row>
    <row r="203" spans="1:22" x14ac:dyDescent="0.2">
      <c r="A203" s="56">
        <v>1815</v>
      </c>
      <c r="B203" s="61" t="s">
        <v>494</v>
      </c>
      <c r="C203" s="5">
        <v>41391</v>
      </c>
      <c r="D203" s="139" t="s">
        <v>495</v>
      </c>
      <c r="E203" s="8">
        <v>-34.953000000000003</v>
      </c>
      <c r="F203" s="8">
        <v>1.9E-2</v>
      </c>
      <c r="G203" s="8">
        <v>-51.357999999999997</v>
      </c>
      <c r="H203" s="8">
        <v>1.7999999999999999E-2</v>
      </c>
      <c r="I203" s="8">
        <v>-0.45100000000000001</v>
      </c>
      <c r="J203" s="8">
        <v>0.215</v>
      </c>
      <c r="K203" s="8">
        <v>-2.048</v>
      </c>
      <c r="L203" s="8">
        <v>0.59199999999999997</v>
      </c>
      <c r="M203" s="139" t="s">
        <v>496</v>
      </c>
      <c r="N203" s="61" t="s">
        <v>126</v>
      </c>
      <c r="O203" s="61" t="s">
        <v>127</v>
      </c>
    </row>
    <row r="204" spans="1:22" x14ac:dyDescent="0.2">
      <c r="A204" s="56">
        <v>1817</v>
      </c>
      <c r="B204" s="61" t="s">
        <v>506</v>
      </c>
      <c r="C204" s="5">
        <v>41392</v>
      </c>
      <c r="D204" s="139" t="s">
        <v>507</v>
      </c>
      <c r="E204" s="8">
        <v>-38.500899229000005</v>
      </c>
      <c r="F204" s="8">
        <v>2.1000000000000001E-2</v>
      </c>
      <c r="G204" s="8">
        <v>-410.30973202399997</v>
      </c>
      <c r="H204" s="8">
        <v>2.1000000000000001E-2</v>
      </c>
      <c r="I204" s="8">
        <v>4.0460877087384883</v>
      </c>
      <c r="J204" s="8">
        <v>9.0999999999999998E-2</v>
      </c>
      <c r="K204" s="8">
        <v>14.689081884581068</v>
      </c>
      <c r="L204" s="8">
        <v>0.26600000000000001</v>
      </c>
      <c r="M204" s="139" t="s">
        <v>505</v>
      </c>
      <c r="N204" s="61" t="s">
        <v>126</v>
      </c>
      <c r="O204" s="61" t="s">
        <v>127</v>
      </c>
    </row>
    <row r="205" spans="1:22" x14ac:dyDescent="0.2">
      <c r="A205" s="56">
        <v>1819</v>
      </c>
      <c r="B205" s="61" t="s">
        <v>508</v>
      </c>
      <c r="C205" s="5">
        <v>41395</v>
      </c>
      <c r="D205" s="150" t="s">
        <v>509</v>
      </c>
      <c r="E205" s="8">
        <v>-43.104839679999998</v>
      </c>
      <c r="F205" s="8">
        <v>2.5000000000000001E-2</v>
      </c>
      <c r="G205" s="8">
        <v>-394.24704573600002</v>
      </c>
      <c r="H205" s="8">
        <v>1.9E-2</v>
      </c>
      <c r="I205" s="8">
        <v>4.9896971389971068</v>
      </c>
      <c r="J205" s="8">
        <v>0.157</v>
      </c>
      <c r="K205" s="8">
        <v>17.256005810576404</v>
      </c>
      <c r="L205" s="8">
        <v>0.28899999999999998</v>
      </c>
      <c r="M205" s="139" t="s">
        <v>502</v>
      </c>
      <c r="N205" s="61" t="s">
        <v>126</v>
      </c>
      <c r="O205" s="61" t="s">
        <v>127</v>
      </c>
    </row>
    <row r="206" spans="1:22" x14ac:dyDescent="0.2">
      <c r="A206" s="56">
        <v>1821</v>
      </c>
      <c r="B206" s="61" t="s">
        <v>510</v>
      </c>
      <c r="C206" s="5">
        <v>41396</v>
      </c>
      <c r="D206" s="139" t="s">
        <v>511</v>
      </c>
      <c r="E206" s="8">
        <v>-39.684879729999999</v>
      </c>
      <c r="F206" s="8">
        <v>1.9E-2</v>
      </c>
      <c r="G206" s="8">
        <v>-395.14652605999999</v>
      </c>
      <c r="H206" s="8">
        <v>0.02</v>
      </c>
      <c r="I206" s="8">
        <v>4.2730750794681693</v>
      </c>
      <c r="J206" s="8">
        <v>0.11799999999999999</v>
      </c>
      <c r="K206" s="8">
        <v>15.414540189901738</v>
      </c>
      <c r="L206" s="8">
        <v>0.27900000000000003</v>
      </c>
      <c r="M206" s="139" t="s">
        <v>512</v>
      </c>
      <c r="N206" s="61" t="s">
        <v>146</v>
      </c>
      <c r="O206" s="61" t="s">
        <v>257</v>
      </c>
    </row>
    <row r="207" spans="1:22" x14ac:dyDescent="0.2">
      <c r="A207" s="56">
        <v>1823</v>
      </c>
      <c r="B207" s="61" t="s">
        <v>513</v>
      </c>
      <c r="C207" s="5">
        <v>41396</v>
      </c>
      <c r="D207" s="143" t="s">
        <v>514</v>
      </c>
      <c r="E207" s="8">
        <v>-38.564</v>
      </c>
      <c r="F207" s="8">
        <v>1.7000000000000001E-2</v>
      </c>
      <c r="G207" s="8">
        <v>-411.11</v>
      </c>
      <c r="H207" s="8">
        <v>1.9E-2</v>
      </c>
      <c r="I207" s="8">
        <v>4.5140000000000002</v>
      </c>
      <c r="J207" s="8">
        <v>0.12</v>
      </c>
      <c r="K207" s="8">
        <v>13.566000000000001</v>
      </c>
      <c r="L207" s="8">
        <v>0.26500000000000001</v>
      </c>
      <c r="M207" s="139" t="s">
        <v>512</v>
      </c>
      <c r="N207" s="61" t="s">
        <v>146</v>
      </c>
      <c r="O207" s="61" t="s">
        <v>257</v>
      </c>
    </row>
    <row r="208" spans="1:22" x14ac:dyDescent="0.2">
      <c r="A208" s="56">
        <v>1825</v>
      </c>
      <c r="B208" s="61" t="s">
        <v>517</v>
      </c>
      <c r="C208" s="5">
        <v>41401</v>
      </c>
      <c r="D208" s="150" t="s">
        <v>518</v>
      </c>
      <c r="E208" s="8">
        <v>-83.990220039999997</v>
      </c>
      <c r="F208" s="8">
        <v>1.6E-2</v>
      </c>
      <c r="G208" s="8">
        <v>-452.181670161</v>
      </c>
      <c r="H208" s="8">
        <v>1.9E-2</v>
      </c>
      <c r="I208" s="8">
        <v>1.2255085043662017</v>
      </c>
      <c r="J208" s="8">
        <v>0.113</v>
      </c>
      <c r="K208" s="8">
        <v>-21.310666126497345</v>
      </c>
      <c r="L208" s="8">
        <v>0.248</v>
      </c>
      <c r="M208" s="139" t="s">
        <v>516</v>
      </c>
      <c r="N208" s="61" t="s">
        <v>146</v>
      </c>
      <c r="O208" s="61" t="s">
        <v>127</v>
      </c>
    </row>
    <row r="209" spans="1:24" x14ac:dyDescent="0.2">
      <c r="A209" s="56">
        <v>1825</v>
      </c>
      <c r="B209" s="61" t="s">
        <v>519</v>
      </c>
      <c r="C209" s="5">
        <v>41403</v>
      </c>
      <c r="D209" s="139" t="s">
        <v>520</v>
      </c>
      <c r="E209" s="8">
        <v>-79.428667824999991</v>
      </c>
      <c r="F209" s="8">
        <v>1.4E-2</v>
      </c>
      <c r="G209" s="8">
        <v>-419.16904868799998</v>
      </c>
      <c r="H209" s="8">
        <v>0.02</v>
      </c>
      <c r="I209" s="8">
        <v>1.5142471791651513</v>
      </c>
      <c r="J209" s="8">
        <v>8.2000000000000003E-2</v>
      </c>
      <c r="K209" s="8">
        <v>-18.222016584453659</v>
      </c>
      <c r="L209" s="8">
        <v>0.28100000000000003</v>
      </c>
      <c r="M209" s="139" t="s">
        <v>521</v>
      </c>
      <c r="N209" s="61" t="s">
        <v>143</v>
      </c>
      <c r="O209" s="61" t="s">
        <v>139</v>
      </c>
    </row>
    <row r="210" spans="1:24" x14ac:dyDescent="0.2">
      <c r="A210" s="56">
        <v>1829</v>
      </c>
      <c r="B210" s="61" t="s">
        <v>522</v>
      </c>
      <c r="C210" s="5">
        <v>41403</v>
      </c>
      <c r="D210" s="139" t="s">
        <v>523</v>
      </c>
      <c r="E210" s="8">
        <v>-76.158000000000001</v>
      </c>
      <c r="F210" s="8">
        <v>1.7000000000000001E-2</v>
      </c>
      <c r="G210" s="8">
        <v>-408.01900000000001</v>
      </c>
      <c r="H210" s="8">
        <v>7.8E-2</v>
      </c>
      <c r="I210" s="8">
        <v>-0.193</v>
      </c>
      <c r="J210" s="8">
        <v>0.17199999999999999</v>
      </c>
      <c r="K210" s="8">
        <v>-29.568000000000001</v>
      </c>
      <c r="L210" s="8">
        <v>0.253</v>
      </c>
      <c r="M210" s="139" t="s">
        <v>521</v>
      </c>
      <c r="N210" s="61" t="s">
        <v>126</v>
      </c>
      <c r="O210" s="61" t="s">
        <v>139</v>
      </c>
    </row>
    <row r="211" spans="1:24" x14ac:dyDescent="0.2">
      <c r="A211" s="56">
        <v>1831</v>
      </c>
      <c r="B211" s="61" t="s">
        <v>524</v>
      </c>
      <c r="C211" s="5">
        <v>41406</v>
      </c>
      <c r="D211" s="139" t="s">
        <v>528</v>
      </c>
      <c r="E211" s="8">
        <v>-53.980312321</v>
      </c>
      <c r="F211" s="8">
        <v>3.1E-2</v>
      </c>
      <c r="G211" s="8">
        <v>-275.90422599499999</v>
      </c>
      <c r="H211" s="8">
        <v>1.7999999999999999E-2</v>
      </c>
      <c r="I211" s="8">
        <v>1.8669868364180608</v>
      </c>
      <c r="J211" s="8">
        <v>0.14199999999999999</v>
      </c>
      <c r="K211" s="8">
        <v>-17.104689748544509</v>
      </c>
      <c r="L211" s="8">
        <v>0.33700000000000002</v>
      </c>
      <c r="M211" s="139" t="s">
        <v>435</v>
      </c>
      <c r="N211" s="61" t="s">
        <v>126</v>
      </c>
      <c r="O211" s="61" t="s">
        <v>127</v>
      </c>
    </row>
    <row r="212" spans="1:24" x14ac:dyDescent="0.2">
      <c r="A212" s="56">
        <v>1833</v>
      </c>
      <c r="B212" s="61" t="s">
        <v>525</v>
      </c>
      <c r="C212" s="5">
        <v>41406</v>
      </c>
      <c r="D212" s="139" t="s">
        <v>526</v>
      </c>
      <c r="E212" s="8">
        <v>-61.206543190000005</v>
      </c>
      <c r="F212" s="8">
        <v>1.0999999999999999E-2</v>
      </c>
      <c r="G212" s="8">
        <v>-380.523384642</v>
      </c>
      <c r="H212" s="8">
        <v>1.9E-2</v>
      </c>
      <c r="I212" s="8">
        <v>0.56927656704086615</v>
      </c>
      <c r="J212" s="8">
        <v>0.121</v>
      </c>
      <c r="K212" s="8">
        <v>-26.671212284433921</v>
      </c>
      <c r="L212" s="8">
        <v>0.28199999999999997</v>
      </c>
      <c r="M212" s="139" t="s">
        <v>527</v>
      </c>
      <c r="N212" s="61" t="s">
        <v>126</v>
      </c>
      <c r="O212" s="61" t="s">
        <v>265</v>
      </c>
    </row>
    <row r="213" spans="1:24" x14ac:dyDescent="0.2">
      <c r="A213" s="56">
        <v>1836</v>
      </c>
      <c r="B213" s="61" t="s">
        <v>530</v>
      </c>
      <c r="C213" s="5">
        <v>41410</v>
      </c>
      <c r="D213" s="139" t="s">
        <v>531</v>
      </c>
      <c r="E213" s="8">
        <v>-46.92</v>
      </c>
      <c r="F213" s="8">
        <v>3.0000000000000001E-3</v>
      </c>
      <c r="G213" s="8">
        <v>-227.12299999999999</v>
      </c>
      <c r="H213" s="8">
        <v>2.4E-2</v>
      </c>
      <c r="I213" s="8">
        <v>2.9929999999999999</v>
      </c>
      <c r="J213" s="8">
        <v>0.13400000000000001</v>
      </c>
      <c r="K213" s="8">
        <v>1.0329999999999999</v>
      </c>
      <c r="L213" s="8">
        <v>0.40300000000000002</v>
      </c>
      <c r="M213" s="139" t="s">
        <v>430</v>
      </c>
      <c r="N213" s="61" t="s">
        <v>126</v>
      </c>
      <c r="O213" s="61" t="s">
        <v>127</v>
      </c>
    </row>
    <row r="214" spans="1:24" x14ac:dyDescent="0.2">
      <c r="A214" s="56">
        <v>1838</v>
      </c>
      <c r="B214" s="61">
        <v>238</v>
      </c>
      <c r="C214" s="5">
        <v>41412</v>
      </c>
      <c r="D214" s="150" t="s">
        <v>529</v>
      </c>
      <c r="E214" s="8">
        <v>-45.582000000000001</v>
      </c>
      <c r="F214" s="8">
        <v>0.03</v>
      </c>
      <c r="G214" s="8">
        <v>-74.97</v>
      </c>
      <c r="H214" s="8">
        <v>2.3E-2</v>
      </c>
      <c r="I214" s="8">
        <v>-0.33600000000000002</v>
      </c>
      <c r="J214" s="8">
        <v>237</v>
      </c>
      <c r="K214" s="8">
        <v>-2.2090000000000001</v>
      </c>
      <c r="L214" s="8">
        <v>0.47299999999999998</v>
      </c>
      <c r="M214" s="139"/>
      <c r="N214" s="61"/>
      <c r="O214" s="61"/>
    </row>
    <row r="215" spans="1:24" x14ac:dyDescent="0.2">
      <c r="A215" s="56">
        <v>1840</v>
      </c>
      <c r="B215" s="61">
        <v>239</v>
      </c>
      <c r="C215" s="5">
        <v>41414</v>
      </c>
      <c r="D215" s="150" t="s">
        <v>532</v>
      </c>
      <c r="E215" s="8">
        <v>-45.691000000000003</v>
      </c>
      <c r="F215" s="8">
        <v>2.9000000000000001E-2</v>
      </c>
      <c r="G215" s="8">
        <v>-72.751000000000005</v>
      </c>
      <c r="H215" s="8">
        <v>2.3E-2</v>
      </c>
      <c r="I215" s="8">
        <v>-0.193</v>
      </c>
      <c r="J215" s="8">
        <v>237</v>
      </c>
      <c r="K215" s="8">
        <v>-1.0669999999999999</v>
      </c>
      <c r="L215" s="8">
        <v>0.48699999999999999</v>
      </c>
      <c r="M215" s="139"/>
      <c r="N215" s="61"/>
      <c r="O215" s="61"/>
    </row>
    <row r="216" spans="1:24" x14ac:dyDescent="0.2">
      <c r="A216" s="65">
        <v>1842</v>
      </c>
      <c r="B216" s="77" t="s">
        <v>533</v>
      </c>
      <c r="C216" s="44">
        <v>41416</v>
      </c>
      <c r="D216" s="151" t="s">
        <v>534</v>
      </c>
      <c r="E216" s="45">
        <v>-36.499000000000002</v>
      </c>
      <c r="F216" s="45">
        <v>2.3E-2</v>
      </c>
      <c r="G216" s="45">
        <v>-58.933</v>
      </c>
      <c r="H216" s="45">
        <v>2.3E-2</v>
      </c>
      <c r="I216" s="45">
        <v>-6.0000000000000001E-3</v>
      </c>
      <c r="J216" s="8">
        <v>0.14000000000000001</v>
      </c>
      <c r="K216" s="45">
        <v>-0.435</v>
      </c>
      <c r="L216" s="45">
        <v>0.55300000000000005</v>
      </c>
      <c r="M216" s="139"/>
      <c r="N216" s="61"/>
      <c r="O216" s="61"/>
    </row>
    <row r="217" spans="1:24" x14ac:dyDescent="0.2">
      <c r="A217" s="56">
        <v>1844</v>
      </c>
      <c r="B217" s="61">
        <v>241</v>
      </c>
      <c r="C217" s="5">
        <v>41417</v>
      </c>
      <c r="D217" s="139" t="s">
        <v>535</v>
      </c>
      <c r="E217" s="8">
        <v>-42.080778432999999</v>
      </c>
      <c r="F217" s="8">
        <v>2.1999999999999999E-2</v>
      </c>
      <c r="G217" s="8">
        <v>-168.833136674</v>
      </c>
      <c r="H217" s="8">
        <v>1.9E-2</v>
      </c>
      <c r="I217" s="8">
        <v>2.2934507228271617</v>
      </c>
      <c r="J217" s="8">
        <v>0.113</v>
      </c>
      <c r="K217" s="8">
        <v>8.092019510701709</v>
      </c>
      <c r="L217" s="8">
        <v>0.39600000000000002</v>
      </c>
      <c r="M217" s="139"/>
      <c r="N217" s="61"/>
      <c r="O217" s="61"/>
    </row>
    <row r="218" spans="1:24" x14ac:dyDescent="0.2">
      <c r="A218" s="56">
        <v>1846</v>
      </c>
      <c r="B218" s="61" t="s">
        <v>537</v>
      </c>
      <c r="C218" s="5">
        <v>41406</v>
      </c>
      <c r="D218" s="139" t="s">
        <v>536</v>
      </c>
      <c r="E218" s="8">
        <v>-55.522666090000001</v>
      </c>
      <c r="F218" s="8">
        <v>1.7999999999999999E-2</v>
      </c>
      <c r="G218" s="8">
        <v>-312.765983457</v>
      </c>
      <c r="H218" s="8">
        <v>0.02</v>
      </c>
      <c r="I218" s="8">
        <v>5.1596933067306061</v>
      </c>
      <c r="J218" s="8">
        <v>0.122</v>
      </c>
      <c r="K218" s="8">
        <v>18.669355536329093</v>
      </c>
      <c r="L218" s="8">
        <v>0.35</v>
      </c>
      <c r="M218" s="139" t="s">
        <v>430</v>
      </c>
      <c r="N218" s="61" t="s">
        <v>247</v>
      </c>
      <c r="O218" s="61" t="s">
        <v>127</v>
      </c>
    </row>
    <row r="219" spans="1:24" x14ac:dyDescent="0.2">
      <c r="A219" s="56">
        <v>1848</v>
      </c>
      <c r="B219" s="61" t="s">
        <v>538</v>
      </c>
      <c r="C219" s="5">
        <v>41421</v>
      </c>
      <c r="D219" s="149" t="s">
        <v>539</v>
      </c>
      <c r="E219" s="8">
        <v>-55.120941216999995</v>
      </c>
      <c r="F219" s="8">
        <v>2.3E-2</v>
      </c>
      <c r="G219" s="8">
        <v>-257.53356351999997</v>
      </c>
      <c r="H219" s="8">
        <v>0.02</v>
      </c>
      <c r="I219" s="8">
        <v>1.4934284654695151</v>
      </c>
      <c r="J219" s="8">
        <v>0.13800000000000001</v>
      </c>
      <c r="K219" s="8">
        <v>-17.336524542390428</v>
      </c>
      <c r="L219" s="8">
        <v>0.371</v>
      </c>
      <c r="M219" s="139" t="s">
        <v>435</v>
      </c>
      <c r="N219" s="61" t="s">
        <v>126</v>
      </c>
      <c r="O219" s="61" t="s">
        <v>127</v>
      </c>
    </row>
    <row r="220" spans="1:24" x14ac:dyDescent="0.2">
      <c r="A220" s="65">
        <v>1892</v>
      </c>
      <c r="B220" s="77" t="s">
        <v>540</v>
      </c>
      <c r="C220" s="44">
        <v>41416</v>
      </c>
      <c r="D220" s="151" t="s">
        <v>534</v>
      </c>
      <c r="E220" s="45">
        <v>-36.509615506000003</v>
      </c>
      <c r="F220" s="45">
        <v>0.03</v>
      </c>
      <c r="G220" s="45">
        <v>-58.966695844</v>
      </c>
      <c r="H220" s="45">
        <v>0.02</v>
      </c>
      <c r="I220" s="45">
        <v>0.1020402097455797</v>
      </c>
      <c r="J220" s="8">
        <v>0.13600000000000001</v>
      </c>
      <c r="K220" s="45">
        <v>-1.5688790392651697</v>
      </c>
      <c r="L220" s="45">
        <v>0.42299999999999999</v>
      </c>
      <c r="M220" s="139"/>
      <c r="N220" s="61"/>
      <c r="O220" s="61"/>
    </row>
    <row r="221" spans="1:24" ht="15" x14ac:dyDescent="0.2">
      <c r="A221" s="56">
        <v>1894</v>
      </c>
      <c r="B221" s="61" t="s">
        <v>541</v>
      </c>
      <c r="C221" s="5">
        <v>41403</v>
      </c>
      <c r="D221" s="152" t="s">
        <v>542</v>
      </c>
      <c r="E221" s="36">
        <v>-62.810552574999996</v>
      </c>
      <c r="F221" s="36">
        <v>3.3000000000000002E-2</v>
      </c>
      <c r="G221" s="36">
        <v>-248.46160820199998</v>
      </c>
      <c r="H221" s="36">
        <v>3.3000000000000002E-2</v>
      </c>
      <c r="I221" s="36">
        <v>4.1330990645001009</v>
      </c>
      <c r="J221" s="8">
        <v>0.16800000000000001</v>
      </c>
      <c r="K221" s="36">
        <v>7.3635851348823333</v>
      </c>
      <c r="L221" s="36">
        <v>0.38800000000000001</v>
      </c>
      <c r="M221" s="139" t="s">
        <v>521</v>
      </c>
      <c r="N221" s="61" t="s">
        <v>126</v>
      </c>
      <c r="O221" s="61" t="s">
        <v>237</v>
      </c>
    </row>
    <row r="222" spans="1:24" ht="15" x14ac:dyDescent="0.2">
      <c r="A222" s="56">
        <v>1896</v>
      </c>
      <c r="B222" s="61" t="s">
        <v>543</v>
      </c>
      <c r="C222" s="5">
        <v>41445</v>
      </c>
      <c r="D222" s="152" t="s">
        <v>544</v>
      </c>
      <c r="E222" s="36">
        <v>-43.266685672000001</v>
      </c>
      <c r="F222" s="36">
        <v>3.5000000000000003E-2</v>
      </c>
      <c r="G222" s="36">
        <v>-207.429875012</v>
      </c>
      <c r="H222" s="36">
        <v>3.3000000000000002E-2</v>
      </c>
      <c r="I222" s="36">
        <v>4.588373288952452</v>
      </c>
      <c r="J222" s="8">
        <v>0.28599999999999998</v>
      </c>
      <c r="K222" s="36">
        <v>12.003975524203625</v>
      </c>
      <c r="L222" s="36">
        <v>0.38600000000000001</v>
      </c>
      <c r="M222" s="139" t="s">
        <v>521</v>
      </c>
      <c r="N222" s="61" t="s">
        <v>182</v>
      </c>
      <c r="O222" s="61" t="s">
        <v>545</v>
      </c>
    </row>
    <row r="223" spans="1:24" ht="15" x14ac:dyDescent="0.2">
      <c r="A223" s="56">
        <v>1898</v>
      </c>
      <c r="B223" s="61" t="s">
        <v>546</v>
      </c>
      <c r="C223" s="5">
        <v>41445</v>
      </c>
      <c r="D223" s="152" t="s">
        <v>547</v>
      </c>
      <c r="E223" s="36">
        <v>-41.24</v>
      </c>
      <c r="F223" s="36">
        <v>3.5000000000000003E-2</v>
      </c>
      <c r="G223" s="36">
        <v>-169.684</v>
      </c>
      <c r="H223" s="36">
        <v>4.4999999999999998E-2</v>
      </c>
      <c r="I223" s="36">
        <v>3.4009999999999998</v>
      </c>
      <c r="J223" s="8">
        <v>0.28599999999999998</v>
      </c>
      <c r="K223" s="36">
        <v>9.1590000000000007</v>
      </c>
      <c r="L223" s="36">
        <v>0.873</v>
      </c>
      <c r="M223" s="139" t="s">
        <v>548</v>
      </c>
      <c r="N223" s="61" t="s">
        <v>182</v>
      </c>
      <c r="O223" s="61" t="s">
        <v>126</v>
      </c>
    </row>
    <row r="224" spans="1:24" s="39" customFormat="1" ht="15" x14ac:dyDescent="0.2">
      <c r="A224" s="66">
        <v>1901</v>
      </c>
      <c r="B224" s="78" t="s">
        <v>549</v>
      </c>
      <c r="C224" s="37">
        <v>41449</v>
      </c>
      <c r="D224" s="153" t="s">
        <v>550</v>
      </c>
      <c r="E224" s="40">
        <v>-39.44</v>
      </c>
      <c r="F224" s="40">
        <v>1.9E-2</v>
      </c>
      <c r="G224" s="40">
        <v>-395.54199999999997</v>
      </c>
      <c r="H224" s="40">
        <v>2.8000000000000001E-2</v>
      </c>
      <c r="I224" s="40">
        <v>3.45</v>
      </c>
      <c r="J224" s="8">
        <v>0.113</v>
      </c>
      <c r="K224" s="40">
        <v>13.904999999999999</v>
      </c>
      <c r="L224" s="40">
        <v>0.29099999999999998</v>
      </c>
      <c r="M224" s="157" t="s">
        <v>512</v>
      </c>
      <c r="N224" s="78" t="s">
        <v>126</v>
      </c>
      <c r="O224" s="78" t="s">
        <v>127</v>
      </c>
      <c r="P224" s="192"/>
      <c r="Q224" s="192"/>
      <c r="R224" s="192"/>
      <c r="S224" s="192"/>
      <c r="T224" s="192"/>
      <c r="U224" s="192"/>
      <c r="V224" s="179"/>
      <c r="W224" s="128"/>
      <c r="X224" s="128"/>
    </row>
    <row r="225" spans="1:24" ht="15" x14ac:dyDescent="0.2">
      <c r="A225" s="65">
        <v>1903</v>
      </c>
      <c r="B225" s="77" t="s">
        <v>551</v>
      </c>
      <c r="C225" s="44">
        <v>41451</v>
      </c>
      <c r="D225" s="154" t="s">
        <v>552</v>
      </c>
      <c r="E225" s="46">
        <v>-36.772615242999997</v>
      </c>
      <c r="F225" s="46">
        <v>2.3E-2</v>
      </c>
      <c r="G225" s="46">
        <v>-59.036320889999999</v>
      </c>
      <c r="H225" s="46">
        <v>2.5000000000000001E-2</v>
      </c>
      <c r="I225" s="46">
        <v>3.2105907102675246E-2</v>
      </c>
      <c r="J225" s="8">
        <v>0.183</v>
      </c>
      <c r="K225" s="46">
        <v>-1.1893555955515556</v>
      </c>
      <c r="L225" s="46">
        <v>0.49</v>
      </c>
      <c r="M225" s="139"/>
      <c r="N225" s="61"/>
      <c r="O225" s="61"/>
    </row>
    <row r="226" spans="1:24" ht="15" x14ac:dyDescent="0.2">
      <c r="A226" s="56">
        <v>1905</v>
      </c>
      <c r="B226" s="61" t="s">
        <v>553</v>
      </c>
      <c r="C226" s="5">
        <v>41453</v>
      </c>
      <c r="D226" s="152" t="s">
        <v>554</v>
      </c>
      <c r="E226" s="36">
        <v>-38.528836929999997</v>
      </c>
      <c r="F226" s="36">
        <v>1.7999999999999999E-2</v>
      </c>
      <c r="G226" s="36">
        <v>-410.47814936499998</v>
      </c>
      <c r="H226" s="36">
        <v>2.7E-2</v>
      </c>
      <c r="I226" s="36">
        <v>3.8983571842032827</v>
      </c>
      <c r="J226" s="8">
        <v>8.6999999999999994E-2</v>
      </c>
      <c r="K226" s="36">
        <v>12.059570161883526</v>
      </c>
      <c r="L226" s="36">
        <v>0.311</v>
      </c>
      <c r="M226" s="139" t="s">
        <v>512</v>
      </c>
      <c r="N226" s="61" t="s">
        <v>126</v>
      </c>
      <c r="O226" s="61" t="s">
        <v>257</v>
      </c>
    </row>
    <row r="227" spans="1:24" ht="15" x14ac:dyDescent="0.2">
      <c r="A227" s="56">
        <v>1907</v>
      </c>
      <c r="B227" s="61" t="s">
        <v>556</v>
      </c>
      <c r="C227" s="5">
        <v>41457</v>
      </c>
      <c r="D227" s="152" t="s">
        <v>557</v>
      </c>
      <c r="E227" s="36">
        <v>-65.783509308999996</v>
      </c>
      <c r="F227" s="36">
        <v>0.02</v>
      </c>
      <c r="G227" s="36">
        <v>-240.82825687500002</v>
      </c>
      <c r="H227" s="36">
        <v>2.8000000000000001E-2</v>
      </c>
      <c r="I227" s="36">
        <v>4.342890247730713</v>
      </c>
      <c r="J227" s="8">
        <v>0.13600000000000001</v>
      </c>
      <c r="K227" s="36">
        <v>12.267735218619347</v>
      </c>
      <c r="L227" s="36">
        <v>0.44700000000000001</v>
      </c>
      <c r="M227" s="139" t="s">
        <v>558</v>
      </c>
      <c r="N227" s="61" t="s">
        <v>126</v>
      </c>
      <c r="O227" s="61" t="s">
        <v>127</v>
      </c>
    </row>
    <row r="228" spans="1:24" s="49" customFormat="1" ht="15" x14ac:dyDescent="0.25">
      <c r="A228" s="67" t="s">
        <v>559</v>
      </c>
      <c r="B228" s="70"/>
      <c r="C228" s="47"/>
      <c r="D228" s="145"/>
      <c r="E228" s="48"/>
      <c r="F228" s="48"/>
      <c r="G228" s="48"/>
      <c r="H228" s="48"/>
      <c r="I228" s="48"/>
      <c r="J228" s="8"/>
      <c r="K228" s="48"/>
      <c r="L228" s="48"/>
      <c r="M228" s="145"/>
      <c r="N228" s="70"/>
      <c r="O228" s="70"/>
      <c r="P228" s="82"/>
      <c r="Q228" s="82"/>
      <c r="R228" s="82"/>
      <c r="S228" s="82"/>
      <c r="T228" s="82"/>
      <c r="U228" s="82"/>
      <c r="V228" s="161"/>
      <c r="W228" s="126"/>
      <c r="X228" s="126"/>
    </row>
    <row r="229" spans="1:24" s="49" customFormat="1" ht="15" x14ac:dyDescent="0.25">
      <c r="A229" s="67" t="s">
        <v>560</v>
      </c>
      <c r="B229" s="70"/>
      <c r="C229" s="47"/>
      <c r="D229" s="145"/>
      <c r="E229" s="48"/>
      <c r="F229" s="48"/>
      <c r="G229" s="48"/>
      <c r="H229" s="48"/>
      <c r="I229" s="48"/>
      <c r="J229" s="8"/>
      <c r="K229" s="48"/>
      <c r="L229" s="48"/>
      <c r="M229" s="145"/>
      <c r="N229" s="70"/>
      <c r="O229" s="70"/>
      <c r="P229" s="82"/>
      <c r="Q229" s="82"/>
      <c r="R229" s="82"/>
      <c r="S229" s="82"/>
      <c r="T229" s="82"/>
      <c r="U229" s="82"/>
      <c r="V229" s="161"/>
      <c r="W229" s="126"/>
      <c r="X229" s="126"/>
    </row>
    <row r="230" spans="1:24" x14ac:dyDescent="0.2">
      <c r="A230" s="65">
        <v>1909</v>
      </c>
      <c r="B230" s="77" t="s">
        <v>561</v>
      </c>
      <c r="C230" s="44">
        <v>41493</v>
      </c>
      <c r="D230" s="151" t="s">
        <v>562</v>
      </c>
      <c r="E230" s="45">
        <v>-36.579941443000003</v>
      </c>
      <c r="F230" s="45">
        <v>7.0000000000000001E-3</v>
      </c>
      <c r="G230" s="45">
        <v>-59.009035399000005</v>
      </c>
      <c r="H230" s="45">
        <v>2.4E-2</v>
      </c>
      <c r="I230" s="45">
        <v>-0.17088609051207904</v>
      </c>
      <c r="J230" s="8">
        <v>0.11899999999999999</v>
      </c>
      <c r="K230" s="45">
        <v>-1.7027875574624485</v>
      </c>
      <c r="L230" s="45">
        <v>0.59</v>
      </c>
      <c r="M230" s="139"/>
      <c r="N230" s="61" t="s">
        <v>126</v>
      </c>
      <c r="O230" s="61" t="s">
        <v>127</v>
      </c>
    </row>
    <row r="231" spans="1:24" x14ac:dyDescent="0.2">
      <c r="A231" s="65">
        <v>1911</v>
      </c>
      <c r="B231" s="77" t="s">
        <v>563</v>
      </c>
      <c r="C231" s="44">
        <v>41495</v>
      </c>
      <c r="D231" s="151" t="s">
        <v>564</v>
      </c>
      <c r="E231" s="45">
        <v>-36.586685025999998</v>
      </c>
      <c r="F231" s="45">
        <v>7.0000000000000001E-3</v>
      </c>
      <c r="G231" s="45">
        <v>-59.028793858</v>
      </c>
      <c r="H231" s="45">
        <v>2.1999999999999999E-2</v>
      </c>
      <c r="I231" s="45">
        <v>-0.11289745453013644</v>
      </c>
      <c r="J231" s="8">
        <v>0.11899999999999999</v>
      </c>
      <c r="K231" s="45">
        <v>-0.27330106770639961</v>
      </c>
      <c r="L231" s="45">
        <v>0.58799999999999997</v>
      </c>
      <c r="M231" s="139"/>
      <c r="N231" s="61" t="s">
        <v>126</v>
      </c>
      <c r="O231" s="61" t="s">
        <v>127</v>
      </c>
    </row>
    <row r="232" spans="1:24" x14ac:dyDescent="0.2">
      <c r="A232" s="56">
        <v>1913</v>
      </c>
      <c r="B232" s="61" t="s">
        <v>565</v>
      </c>
      <c r="C232" s="5">
        <v>41497</v>
      </c>
      <c r="D232" s="139" t="s">
        <v>566</v>
      </c>
      <c r="E232" s="8">
        <v>-36.797662837000004</v>
      </c>
      <c r="F232" s="8">
        <v>1.7000000000000001E-2</v>
      </c>
      <c r="G232" s="8">
        <v>-166.468707747</v>
      </c>
      <c r="H232" s="8">
        <v>4.7E-2</v>
      </c>
      <c r="I232" s="8">
        <v>2.407502869565592</v>
      </c>
      <c r="J232" s="8">
        <v>0.27200000000000002</v>
      </c>
      <c r="K232" s="8">
        <v>-0.35620108906231351</v>
      </c>
      <c r="L232" s="8">
        <v>0.79200000000000004</v>
      </c>
      <c r="M232" s="139"/>
      <c r="N232" s="61" t="s">
        <v>627</v>
      </c>
      <c r="O232" s="61" t="s">
        <v>280</v>
      </c>
    </row>
    <row r="233" spans="1:24" x14ac:dyDescent="0.2">
      <c r="A233" s="56">
        <v>1915</v>
      </c>
      <c r="B233" s="61" t="s">
        <v>567</v>
      </c>
      <c r="C233" s="5">
        <v>41499</v>
      </c>
      <c r="D233" s="139" t="s">
        <v>568</v>
      </c>
      <c r="E233" s="8">
        <v>-62.850050704000004</v>
      </c>
      <c r="F233" s="8">
        <v>2.1000000000000001E-2</v>
      </c>
      <c r="G233" s="8">
        <v>-248.534996764</v>
      </c>
      <c r="H233" s="8">
        <v>2.4E-2</v>
      </c>
      <c r="I233" s="8">
        <v>3.5012360332047354</v>
      </c>
      <c r="J233" s="8">
        <v>0.12</v>
      </c>
      <c r="K233" s="8">
        <v>8.6051010716730048</v>
      </c>
      <c r="L233" s="8">
        <v>0.443</v>
      </c>
      <c r="M233" s="139"/>
      <c r="N233" s="61" t="s">
        <v>569</v>
      </c>
      <c r="O233" s="61" t="s">
        <v>127</v>
      </c>
    </row>
    <row r="234" spans="1:24" x14ac:dyDescent="0.2">
      <c r="A234" s="56">
        <v>1918</v>
      </c>
      <c r="B234" s="61" t="s">
        <v>570</v>
      </c>
      <c r="C234" s="5">
        <v>41500</v>
      </c>
      <c r="D234" s="139" t="s">
        <v>571</v>
      </c>
      <c r="E234" s="8">
        <v>-43.759930599999997</v>
      </c>
      <c r="F234" s="8">
        <v>2.1000000000000001E-2</v>
      </c>
      <c r="G234" s="8">
        <v>-226.05175217999999</v>
      </c>
      <c r="H234" s="8">
        <v>2.5000000000000001E-2</v>
      </c>
      <c r="I234" s="8">
        <v>4.6263062335951677</v>
      </c>
      <c r="J234" s="8">
        <v>0.11</v>
      </c>
      <c r="K234" s="8">
        <v>8.5815630427865663</v>
      </c>
      <c r="L234" s="8">
        <v>0.44900000000000001</v>
      </c>
      <c r="M234" s="139"/>
      <c r="N234" s="61" t="s">
        <v>126</v>
      </c>
      <c r="O234" s="61" t="s">
        <v>572</v>
      </c>
    </row>
    <row r="235" spans="1:24" x14ac:dyDescent="0.2">
      <c r="A235" s="56">
        <v>1920</v>
      </c>
      <c r="B235" s="61" t="s">
        <v>573</v>
      </c>
      <c r="C235" s="5">
        <v>41502</v>
      </c>
      <c r="D235" s="139" t="s">
        <v>574</v>
      </c>
      <c r="E235" s="8">
        <v>-62.732519686000003</v>
      </c>
      <c r="F235" s="8">
        <v>4.0000000000000001E-3</v>
      </c>
      <c r="G235" s="8">
        <v>-248.59897653600001</v>
      </c>
      <c r="H235" s="8">
        <v>0.02</v>
      </c>
      <c r="I235" s="8">
        <v>3.6345840461542434</v>
      </c>
      <c r="J235" s="8">
        <v>0.11700000000000001</v>
      </c>
      <c r="K235" s="8">
        <v>7.6410806975604206</v>
      </c>
      <c r="L235" s="8">
        <v>0.41799999999999998</v>
      </c>
      <c r="M235" s="139"/>
      <c r="N235" s="61" t="s">
        <v>242</v>
      </c>
      <c r="O235" s="61" t="s">
        <v>127</v>
      </c>
    </row>
    <row r="236" spans="1:24" x14ac:dyDescent="0.2">
      <c r="A236" s="56">
        <v>1922</v>
      </c>
      <c r="B236" s="61" t="s">
        <v>575</v>
      </c>
      <c r="C236" s="5">
        <v>41503</v>
      </c>
      <c r="D236" s="139" t="s">
        <v>576</v>
      </c>
      <c r="E236" s="8">
        <v>-11.347380594999999</v>
      </c>
      <c r="F236" s="8">
        <v>3.0000000000000001E-3</v>
      </c>
      <c r="G236" s="8">
        <v>-120.12288996499998</v>
      </c>
      <c r="H236" s="8">
        <v>2.1000000000000001E-2</v>
      </c>
      <c r="I236" s="8">
        <v>3.5184843042173064</v>
      </c>
      <c r="J236" s="8">
        <v>0.13</v>
      </c>
      <c r="K236" s="8">
        <v>9.417059526678706</v>
      </c>
      <c r="L236" s="8">
        <v>0.45</v>
      </c>
      <c r="M236" s="139"/>
      <c r="N236" s="61" t="s">
        <v>126</v>
      </c>
      <c r="O236" s="61" t="s">
        <v>127</v>
      </c>
    </row>
    <row r="237" spans="1:24" x14ac:dyDescent="0.2">
      <c r="A237" s="56">
        <v>1924</v>
      </c>
      <c r="B237" s="61" t="s">
        <v>577</v>
      </c>
      <c r="C237" s="5">
        <v>41506</v>
      </c>
      <c r="D237" s="139" t="s">
        <v>578</v>
      </c>
      <c r="E237" s="8">
        <v>-54.583381315000004</v>
      </c>
      <c r="F237" s="8">
        <v>3.0000000000000001E-3</v>
      </c>
      <c r="G237" s="8">
        <v>-214.007560101</v>
      </c>
      <c r="H237" s="8">
        <v>2.5000000000000001E-2</v>
      </c>
      <c r="I237" s="8">
        <v>4.4053623480149184</v>
      </c>
      <c r="J237" s="8">
        <v>0.16400000000000001</v>
      </c>
      <c r="K237" s="8">
        <v>8.2111995218663303</v>
      </c>
      <c r="L237" s="8">
        <v>0.46800000000000003</v>
      </c>
      <c r="M237" s="139"/>
      <c r="N237" s="61" t="s">
        <v>126</v>
      </c>
      <c r="O237" s="61" t="s">
        <v>127</v>
      </c>
    </row>
    <row r="238" spans="1:24" x14ac:dyDescent="0.2">
      <c r="A238" s="56">
        <v>1928</v>
      </c>
      <c r="B238" s="61" t="s">
        <v>579</v>
      </c>
      <c r="C238" s="5">
        <v>41508</v>
      </c>
      <c r="D238" s="139" t="s">
        <v>580</v>
      </c>
      <c r="E238" s="8">
        <v>-62.951204448999995</v>
      </c>
      <c r="F238" s="8">
        <v>5.0000000000000001E-3</v>
      </c>
      <c r="G238" s="8">
        <v>-248.52088357899996</v>
      </c>
      <c r="H238" s="8">
        <v>2.5000000000000001E-2</v>
      </c>
      <c r="I238" s="8">
        <v>3.4838771201874952</v>
      </c>
      <c r="J238" s="8">
        <v>0.121</v>
      </c>
      <c r="K238" s="8">
        <v>7.5037142701979143</v>
      </c>
      <c r="L238" s="8">
        <v>0.51200000000000001</v>
      </c>
      <c r="M238" s="139"/>
      <c r="N238" s="61">
        <v>20</v>
      </c>
      <c r="O238" s="61">
        <v>25</v>
      </c>
    </row>
    <row r="239" spans="1:24" x14ac:dyDescent="0.2">
      <c r="A239" s="56">
        <v>1929</v>
      </c>
      <c r="B239" s="61" t="s">
        <v>582</v>
      </c>
      <c r="C239" s="5">
        <v>41510</v>
      </c>
      <c r="D239" s="139" t="s">
        <v>583</v>
      </c>
      <c r="E239" s="8">
        <v>-36.565490908000001</v>
      </c>
      <c r="F239" s="8">
        <v>1.2999999999999999E-2</v>
      </c>
      <c r="G239" s="8">
        <v>-59.059842865000007</v>
      </c>
      <c r="H239" s="8">
        <v>1.7999999999999999E-2</v>
      </c>
      <c r="I239" s="8">
        <v>-6.0905560840152084E-2</v>
      </c>
      <c r="J239" s="8">
        <v>0.155</v>
      </c>
      <c r="K239" s="8">
        <v>-1.1264302896522027</v>
      </c>
      <c r="L239" s="8">
        <v>0.52700000000000002</v>
      </c>
      <c r="M239" s="139" t="s">
        <v>581</v>
      </c>
      <c r="N239" s="61"/>
      <c r="O239" s="61"/>
    </row>
    <row r="240" spans="1:24" x14ac:dyDescent="0.2">
      <c r="A240" s="56">
        <v>1931</v>
      </c>
      <c r="B240" s="61">
        <v>306</v>
      </c>
      <c r="C240" s="5">
        <v>41511</v>
      </c>
      <c r="D240" s="139" t="s">
        <v>584</v>
      </c>
      <c r="E240" s="8">
        <v>-42.142434049000002</v>
      </c>
      <c r="F240" s="8">
        <v>1.6E-2</v>
      </c>
      <c r="G240" s="8">
        <v>-67.879642611000008</v>
      </c>
      <c r="H240" s="8">
        <v>2.1000000000000001E-2</v>
      </c>
      <c r="I240" s="8">
        <v>0.21506848434604819</v>
      </c>
      <c r="J240" s="8">
        <v>0.21199999999999999</v>
      </c>
      <c r="K240" s="8">
        <v>-1.7077315492945999</v>
      </c>
      <c r="L240" s="8">
        <v>0.56000000000000005</v>
      </c>
      <c r="M240" s="139"/>
      <c r="N240" s="61">
        <v>20</v>
      </c>
      <c r="O240" s="61">
        <v>40</v>
      </c>
    </row>
    <row r="241" spans="1:24" x14ac:dyDescent="0.2">
      <c r="A241" s="56">
        <v>1933</v>
      </c>
      <c r="B241" s="61">
        <v>307</v>
      </c>
      <c r="C241" s="5">
        <v>41511</v>
      </c>
      <c r="D241" s="139" t="s">
        <v>585</v>
      </c>
      <c r="E241" s="8">
        <v>-42.395800096000002</v>
      </c>
      <c r="F241" s="8">
        <v>1.4999999999999999E-2</v>
      </c>
      <c r="G241" s="8">
        <v>-67.862706789000001</v>
      </c>
      <c r="H241" s="8">
        <v>1.9E-2</v>
      </c>
      <c r="I241" s="8">
        <v>-0.13149382259136644</v>
      </c>
      <c r="J241" s="8">
        <v>0.10100000000000001</v>
      </c>
      <c r="K241" s="8">
        <v>-0.94488565918615652</v>
      </c>
      <c r="L241" s="8">
        <v>0.52</v>
      </c>
      <c r="M241" s="139"/>
      <c r="N241" s="61">
        <v>20</v>
      </c>
      <c r="O241" s="61">
        <v>40</v>
      </c>
    </row>
    <row r="242" spans="1:24" x14ac:dyDescent="0.2">
      <c r="A242" s="56">
        <v>1935</v>
      </c>
      <c r="B242" s="61" t="s">
        <v>586</v>
      </c>
      <c r="C242" s="5">
        <v>41513</v>
      </c>
      <c r="D242" s="139" t="s">
        <v>588</v>
      </c>
      <c r="E242" s="8">
        <v>-39.683916360999994</v>
      </c>
      <c r="F242" s="8">
        <v>0.01</v>
      </c>
      <c r="G242" s="8">
        <v>-390.82224617599996</v>
      </c>
      <c r="H242" s="8">
        <v>1.9E-2</v>
      </c>
      <c r="I242" s="8">
        <v>3.9420241110919019</v>
      </c>
      <c r="J242" s="8">
        <v>0.1</v>
      </c>
      <c r="K242" s="8">
        <v>16.089628194619678</v>
      </c>
      <c r="L242" s="8">
        <v>0.28899999999999998</v>
      </c>
      <c r="M242" s="139" t="s">
        <v>587</v>
      </c>
      <c r="N242" s="61" t="s">
        <v>126</v>
      </c>
      <c r="O242" s="61" t="s">
        <v>227</v>
      </c>
    </row>
    <row r="243" spans="1:24" s="34" customFormat="1" x14ac:dyDescent="0.2">
      <c r="A243" s="63">
        <v>1821</v>
      </c>
      <c r="B243" s="75" t="s">
        <v>589</v>
      </c>
      <c r="C243" s="42">
        <v>41449</v>
      </c>
      <c r="D243" s="155" t="s">
        <v>590</v>
      </c>
      <c r="E243" s="43">
        <v>-39.439220634999998</v>
      </c>
      <c r="F243" s="43">
        <v>4.0000000000000001E-3</v>
      </c>
      <c r="G243" s="43">
        <v>-395.99049452299994</v>
      </c>
      <c r="H243" s="43">
        <v>1.7999999999999999E-2</v>
      </c>
      <c r="I243" s="43">
        <v>4.1521204924264143</v>
      </c>
      <c r="J243" s="8">
        <v>8.5000000000000006E-2</v>
      </c>
      <c r="K243" s="43">
        <v>15.092656083464773</v>
      </c>
      <c r="L243" s="43">
        <v>0.28299999999999997</v>
      </c>
      <c r="M243" s="155" t="s">
        <v>512</v>
      </c>
      <c r="N243" s="75" t="s">
        <v>126</v>
      </c>
      <c r="O243" s="75" t="s">
        <v>127</v>
      </c>
      <c r="P243" s="191"/>
      <c r="Q243" s="191"/>
      <c r="R243" s="191"/>
      <c r="S243" s="191"/>
      <c r="T243" s="191"/>
      <c r="U243" s="191"/>
      <c r="V243" s="178"/>
      <c r="W243" s="127"/>
      <c r="X243" s="127"/>
    </row>
    <row r="244" spans="1:24" s="49" customFormat="1" ht="15" x14ac:dyDescent="0.25">
      <c r="A244" s="67" t="s">
        <v>612</v>
      </c>
      <c r="B244" s="70"/>
      <c r="C244" s="47"/>
      <c r="D244" s="145"/>
      <c r="E244" s="48"/>
      <c r="F244" s="48"/>
      <c r="G244" s="48"/>
      <c r="H244" s="48"/>
      <c r="I244" s="48"/>
      <c r="J244" s="8"/>
      <c r="K244" s="48"/>
      <c r="L244" s="48"/>
      <c r="M244" s="145"/>
      <c r="N244" s="70"/>
      <c r="O244" s="70"/>
      <c r="P244" s="82"/>
      <c r="Q244" s="82"/>
      <c r="R244" s="82"/>
      <c r="S244" s="82"/>
      <c r="T244" s="82"/>
      <c r="U244" s="82"/>
      <c r="V244" s="161"/>
      <c r="W244" s="126"/>
      <c r="X244" s="126"/>
    </row>
    <row r="245" spans="1:24" x14ac:dyDescent="0.2">
      <c r="A245" s="66">
        <v>1941</v>
      </c>
      <c r="B245" s="78" t="s">
        <v>591</v>
      </c>
      <c r="C245" s="37">
        <v>41527</v>
      </c>
      <c r="D245" s="156" t="s">
        <v>609</v>
      </c>
      <c r="E245" s="41">
        <v>-28.923084631000002</v>
      </c>
      <c r="F245" s="38">
        <v>1.2999999999999999E-2</v>
      </c>
      <c r="G245" s="41">
        <v>-158.11087959</v>
      </c>
      <c r="H245" s="38">
        <v>1.6E-2</v>
      </c>
      <c r="I245" s="38">
        <v>3.0078885466813254</v>
      </c>
      <c r="J245" s="8">
        <v>9.9000000000000005E-2</v>
      </c>
      <c r="K245" s="38">
        <v>7.9755481365904046</v>
      </c>
      <c r="L245" s="38">
        <v>0.433</v>
      </c>
      <c r="M245" s="139" t="s">
        <v>512</v>
      </c>
      <c r="N245" s="61" t="s">
        <v>126</v>
      </c>
      <c r="O245" s="61" t="s">
        <v>127</v>
      </c>
      <c r="V245" s="160" t="s">
        <v>592</v>
      </c>
    </row>
    <row r="246" spans="1:24" x14ac:dyDescent="0.2">
      <c r="A246" s="66">
        <v>1943</v>
      </c>
      <c r="B246" s="78" t="s">
        <v>593</v>
      </c>
      <c r="C246" s="37">
        <v>41529</v>
      </c>
      <c r="D246" s="157" t="s">
        <v>621</v>
      </c>
      <c r="E246" s="38">
        <v>-25.616802223000001</v>
      </c>
      <c r="F246" s="38">
        <v>6.2E-2</v>
      </c>
      <c r="G246" s="38">
        <v>-153.85528387299999</v>
      </c>
      <c r="H246" s="38">
        <v>1.9E-2</v>
      </c>
      <c r="I246" s="38">
        <v>2.6575846414471638</v>
      </c>
      <c r="J246" s="8">
        <v>0.16</v>
      </c>
      <c r="K246" s="38">
        <v>7.5612865676557561</v>
      </c>
      <c r="L246" s="38">
        <v>0.436</v>
      </c>
      <c r="M246" s="139" t="s">
        <v>512</v>
      </c>
      <c r="N246" s="61" t="s">
        <v>126</v>
      </c>
      <c r="O246" s="61" t="s">
        <v>127</v>
      </c>
      <c r="V246" s="160" t="s">
        <v>596</v>
      </c>
    </row>
    <row r="247" spans="1:24" x14ac:dyDescent="0.2">
      <c r="A247" s="66">
        <v>1945</v>
      </c>
      <c r="B247" s="78" t="s">
        <v>593</v>
      </c>
      <c r="C247" s="37">
        <v>41529</v>
      </c>
      <c r="D247" s="156" t="s">
        <v>594</v>
      </c>
      <c r="E247" s="38">
        <v>-25.715065860999999</v>
      </c>
      <c r="F247" s="38">
        <v>4.0000000000000001E-3</v>
      </c>
      <c r="G247" s="38"/>
      <c r="H247" s="38"/>
      <c r="I247" s="38">
        <v>2.8169833893667562</v>
      </c>
      <c r="J247" s="8">
        <v>0.23699999999999999</v>
      </c>
      <c r="K247" s="38"/>
      <c r="L247" s="38"/>
      <c r="M247" s="139" t="s">
        <v>512</v>
      </c>
      <c r="N247" s="102">
        <v>10</v>
      </c>
      <c r="O247" s="102" t="s">
        <v>595</v>
      </c>
      <c r="V247" s="160" t="s">
        <v>597</v>
      </c>
    </row>
    <row r="248" spans="1:24" x14ac:dyDescent="0.2">
      <c r="A248" s="66">
        <v>1947</v>
      </c>
      <c r="B248" s="78" t="s">
        <v>598</v>
      </c>
      <c r="C248" s="37">
        <v>41531</v>
      </c>
      <c r="D248" s="156" t="s">
        <v>610</v>
      </c>
      <c r="E248" s="38">
        <v>-25.983845812000002</v>
      </c>
      <c r="F248" s="38">
        <v>8.9999999999999993E-3</v>
      </c>
      <c r="G248" s="38">
        <v>-153.33874130200002</v>
      </c>
      <c r="H248" s="38">
        <v>4.1000000000000002E-2</v>
      </c>
      <c r="I248" s="38">
        <v>2.9972232551727096</v>
      </c>
      <c r="J248" s="8">
        <v>0.28899999999999998</v>
      </c>
      <c r="K248" s="38">
        <v>8.9839200451231616</v>
      </c>
      <c r="L248" s="38">
        <v>1.208</v>
      </c>
      <c r="M248" s="139" t="s">
        <v>512</v>
      </c>
      <c r="N248" s="102" t="s">
        <v>188</v>
      </c>
      <c r="O248" s="102" t="s">
        <v>262</v>
      </c>
      <c r="V248" s="160" t="s">
        <v>599</v>
      </c>
    </row>
    <row r="249" spans="1:24" x14ac:dyDescent="0.2">
      <c r="A249" s="66">
        <v>1949</v>
      </c>
      <c r="B249" s="78" t="s">
        <v>603</v>
      </c>
      <c r="C249" s="37">
        <v>41527</v>
      </c>
      <c r="D249" s="156" t="s">
        <v>611</v>
      </c>
      <c r="E249" s="38">
        <v>-26.062842070000002</v>
      </c>
      <c r="F249" s="38">
        <v>4.0000000000000001E-3</v>
      </c>
      <c r="G249" s="38">
        <v>-154.48473192400002</v>
      </c>
      <c r="H249" s="38">
        <v>1.6E-2</v>
      </c>
      <c r="I249" s="38">
        <v>2.7826539581490284</v>
      </c>
      <c r="J249" s="8">
        <v>0.10299999999999999</v>
      </c>
      <c r="K249" s="38">
        <v>8.8714754741094914</v>
      </c>
      <c r="L249" s="38">
        <v>0.433</v>
      </c>
      <c r="M249" s="139" t="s">
        <v>512</v>
      </c>
      <c r="N249" s="61" t="s">
        <v>126</v>
      </c>
      <c r="O249" s="61" t="s">
        <v>127</v>
      </c>
      <c r="V249" s="160" t="s">
        <v>605</v>
      </c>
    </row>
    <row r="250" spans="1:24" x14ac:dyDescent="0.2">
      <c r="A250" s="56">
        <v>1952</v>
      </c>
      <c r="B250" s="61" t="s">
        <v>600</v>
      </c>
      <c r="C250" s="5">
        <v>41534</v>
      </c>
      <c r="D250" s="139" t="s">
        <v>601</v>
      </c>
      <c r="E250" s="8">
        <v>-39.589506198999999</v>
      </c>
      <c r="F250" s="8">
        <v>3.0000000000000001E-3</v>
      </c>
      <c r="G250" s="8">
        <v>-396.01589825600001</v>
      </c>
      <c r="H250" s="8">
        <v>2.1000000000000001E-2</v>
      </c>
      <c r="I250" s="8">
        <v>4.560878672805746</v>
      </c>
      <c r="J250" s="8">
        <v>8.4000000000000005E-2</v>
      </c>
      <c r="K250" s="8">
        <v>17.047464563421542</v>
      </c>
      <c r="L250" s="8">
        <v>0.29899999999999999</v>
      </c>
      <c r="M250" s="139" t="s">
        <v>512</v>
      </c>
      <c r="N250" s="61" t="s">
        <v>126</v>
      </c>
      <c r="O250" s="61" t="s">
        <v>127</v>
      </c>
    </row>
    <row r="251" spans="1:24" x14ac:dyDescent="0.2">
      <c r="A251" s="66">
        <v>1954</v>
      </c>
      <c r="B251" s="78" t="s">
        <v>602</v>
      </c>
      <c r="C251" s="37">
        <v>41536</v>
      </c>
      <c r="D251" s="156" t="s">
        <v>617</v>
      </c>
      <c r="E251" s="41">
        <v>-29.496289186000002</v>
      </c>
      <c r="F251" s="38">
        <v>7.0000000000000001E-3</v>
      </c>
      <c r="G251" s="41">
        <v>-160.581627844</v>
      </c>
      <c r="H251" s="38">
        <v>5.8999999999999997E-2</v>
      </c>
      <c r="I251" s="38">
        <v>3.0828905531481432</v>
      </c>
      <c r="J251" s="8">
        <v>0.21199999999999999</v>
      </c>
      <c r="K251" s="38">
        <v>4.7845154725820738</v>
      </c>
      <c r="L251" s="38">
        <v>1.591</v>
      </c>
      <c r="M251" s="139" t="s">
        <v>512</v>
      </c>
      <c r="N251" s="102" t="s">
        <v>625</v>
      </c>
      <c r="O251" s="102" t="s">
        <v>188</v>
      </c>
      <c r="V251" s="160" t="s">
        <v>604</v>
      </c>
    </row>
    <row r="252" spans="1:24" x14ac:dyDescent="0.2">
      <c r="A252" s="66">
        <v>1956</v>
      </c>
      <c r="B252" s="78" t="s">
        <v>613</v>
      </c>
      <c r="C252" s="37">
        <v>41536</v>
      </c>
      <c r="D252" s="156" t="s">
        <v>614</v>
      </c>
      <c r="E252" s="41">
        <v>-18.107340867999998</v>
      </c>
      <c r="F252" s="38">
        <v>3.0000000000000001E-3</v>
      </c>
      <c r="G252" s="41">
        <v>-140.34143879600001</v>
      </c>
      <c r="H252" s="38">
        <v>4.2000000000000003E-2</v>
      </c>
      <c r="I252" s="38">
        <v>2.6383939607228513</v>
      </c>
      <c r="J252" s="8">
        <v>0.108</v>
      </c>
      <c r="K252" s="38">
        <v>6.765473250811338</v>
      </c>
      <c r="L252" s="38">
        <v>1.46</v>
      </c>
      <c r="M252" s="139" t="s">
        <v>512</v>
      </c>
      <c r="N252" s="61" t="s">
        <v>242</v>
      </c>
      <c r="O252" s="102" t="s">
        <v>188</v>
      </c>
    </row>
    <row r="253" spans="1:24" x14ac:dyDescent="0.2">
      <c r="A253" s="66">
        <v>1959</v>
      </c>
      <c r="B253" s="78" t="s">
        <v>615</v>
      </c>
      <c r="C253" s="37">
        <v>41537</v>
      </c>
      <c r="D253" s="156" t="s">
        <v>616</v>
      </c>
      <c r="E253" s="41">
        <v>-27.625426588</v>
      </c>
      <c r="F253" s="38">
        <v>8.0000000000000002E-3</v>
      </c>
      <c r="G253" s="41">
        <v>-157.65643503300001</v>
      </c>
      <c r="H253" s="38">
        <v>5.5E-2</v>
      </c>
      <c r="I253" s="38">
        <v>3.0710877387143398</v>
      </c>
      <c r="J253" s="8">
        <v>0.36399999999999999</v>
      </c>
      <c r="K253" s="38">
        <v>8.0450724128910966</v>
      </c>
      <c r="L253" s="38">
        <v>1.43</v>
      </c>
      <c r="M253" s="139" t="s">
        <v>512</v>
      </c>
      <c r="N253" s="102" t="s">
        <v>188</v>
      </c>
      <c r="O253" s="102" t="s">
        <v>148</v>
      </c>
    </row>
    <row r="254" spans="1:24" x14ac:dyDescent="0.2">
      <c r="A254" s="66">
        <v>1959</v>
      </c>
      <c r="B254" s="78" t="s">
        <v>619</v>
      </c>
      <c r="C254" s="37">
        <v>41538</v>
      </c>
      <c r="D254" s="158" t="s">
        <v>620</v>
      </c>
      <c r="E254" s="41">
        <v>-25.730479765000002</v>
      </c>
      <c r="F254" s="38">
        <v>3.0000000000000001E-3</v>
      </c>
      <c r="G254" s="41">
        <v>-153.88821463799999</v>
      </c>
      <c r="H254" s="38">
        <v>3.5999999999999997E-2</v>
      </c>
      <c r="I254" s="38">
        <v>3.0214195563627033</v>
      </c>
      <c r="J254" s="8">
        <v>0.10299999999999999</v>
      </c>
      <c r="K254" s="38">
        <v>6.3770228630020132</v>
      </c>
      <c r="L254" s="38">
        <v>0.995</v>
      </c>
      <c r="M254" s="139" t="s">
        <v>512</v>
      </c>
      <c r="N254" s="61">
        <v>20</v>
      </c>
      <c r="O254" s="102">
        <v>8</v>
      </c>
    </row>
    <row r="255" spans="1:24" x14ac:dyDescent="0.2">
      <c r="A255" s="66">
        <v>1962</v>
      </c>
      <c r="B255" s="78" t="s">
        <v>618</v>
      </c>
      <c r="C255" s="37">
        <v>41538</v>
      </c>
      <c r="D255" s="156" t="s">
        <v>622</v>
      </c>
      <c r="E255" s="41">
        <v>-27.865305468999999</v>
      </c>
      <c r="F255" s="38">
        <v>4.0000000000000001E-3</v>
      </c>
      <c r="G255" s="41">
        <v>-158.09112113099999</v>
      </c>
      <c r="H255" s="38">
        <v>1.6E-2</v>
      </c>
      <c r="I255" s="38">
        <v>4.0570117190046329</v>
      </c>
      <c r="J255" s="8">
        <v>0.115</v>
      </c>
      <c r="K255" s="38">
        <v>7.7822351907808063</v>
      </c>
      <c r="L255" s="38">
        <v>0.44900000000000001</v>
      </c>
      <c r="M255" s="139" t="s">
        <v>512</v>
      </c>
      <c r="N255" s="61" t="s">
        <v>126</v>
      </c>
      <c r="O255" s="61" t="s">
        <v>127</v>
      </c>
    </row>
    <row r="256" spans="1:24" x14ac:dyDescent="0.2">
      <c r="A256" s="66">
        <v>1964</v>
      </c>
      <c r="B256" s="78" t="s">
        <v>623</v>
      </c>
      <c r="C256" s="37">
        <v>41541</v>
      </c>
      <c r="D256" s="158" t="s">
        <v>624</v>
      </c>
      <c r="E256" s="41">
        <v>-25.754563990000001</v>
      </c>
      <c r="F256" s="38">
        <v>3.0000000000000001E-3</v>
      </c>
      <c r="G256" s="41">
        <v>-153.98136165900002</v>
      </c>
      <c r="H256" s="38">
        <v>1.2999999999999999E-2</v>
      </c>
      <c r="I256" s="38">
        <v>2.736562178425439</v>
      </c>
      <c r="J256" s="8">
        <v>0.113</v>
      </c>
      <c r="K256" s="38">
        <v>7.038579557027802</v>
      </c>
      <c r="L256" s="38">
        <v>0.40600000000000003</v>
      </c>
      <c r="M256" s="139" t="s">
        <v>512</v>
      </c>
      <c r="N256" s="61" t="s">
        <v>126</v>
      </c>
      <c r="O256" s="61" t="s">
        <v>127</v>
      </c>
    </row>
    <row r="257" spans="1:15" x14ac:dyDescent="0.2">
      <c r="A257" s="56">
        <v>1969</v>
      </c>
      <c r="B257" s="61">
        <v>320</v>
      </c>
      <c r="C257" s="5">
        <v>41542</v>
      </c>
      <c r="D257" s="139" t="s">
        <v>626</v>
      </c>
      <c r="E257" s="8">
        <v>-42.301389933999999</v>
      </c>
      <c r="F257" s="8">
        <v>3.0000000000000001E-3</v>
      </c>
      <c r="G257" s="8">
        <v>-67.875879095000002</v>
      </c>
      <c r="H257" s="8">
        <v>1.4999999999999999E-2</v>
      </c>
      <c r="I257" s="8">
        <v>5.6185745593628766E-2</v>
      </c>
      <c r="J257" s="8">
        <v>0.107</v>
      </c>
      <c r="K257" s="8">
        <v>-0.38524406504958364</v>
      </c>
      <c r="L257" s="8">
        <v>0.51</v>
      </c>
      <c r="M257" s="139"/>
      <c r="N257" s="61">
        <v>20</v>
      </c>
      <c r="O257" s="61">
        <v>38</v>
      </c>
    </row>
    <row r="258" spans="1:15" x14ac:dyDescent="0.2">
      <c r="A258" s="56">
        <v>1971</v>
      </c>
      <c r="B258" s="61">
        <v>321</v>
      </c>
      <c r="C258" s="5">
        <v>41542</v>
      </c>
      <c r="D258" s="139" t="s">
        <v>636</v>
      </c>
      <c r="E258" s="8">
        <v>-22.664076238000003</v>
      </c>
      <c r="F258" s="8">
        <v>7.0000000000000001E-3</v>
      </c>
      <c r="G258" s="8">
        <v>-109.792038545</v>
      </c>
      <c r="H258" s="8">
        <v>4.4999999999999998E-2</v>
      </c>
      <c r="I258" s="8">
        <v>3.561879988136285</v>
      </c>
      <c r="J258" s="8">
        <v>0.183</v>
      </c>
      <c r="K258" s="8">
        <v>11.32919789240483</v>
      </c>
      <c r="L258" s="8">
        <v>0.92400000000000004</v>
      </c>
      <c r="M258" s="139" t="s">
        <v>628</v>
      </c>
      <c r="N258" s="61">
        <v>10</v>
      </c>
      <c r="O258" s="61">
        <v>20</v>
      </c>
    </row>
    <row r="259" spans="1:15" x14ac:dyDescent="0.2">
      <c r="A259" s="56">
        <v>1974</v>
      </c>
      <c r="B259" s="61">
        <v>323</v>
      </c>
      <c r="C259" s="5">
        <v>41545</v>
      </c>
      <c r="D259" s="139" t="s">
        <v>632</v>
      </c>
      <c r="E259" s="8">
        <v>-17.598682036</v>
      </c>
      <c r="F259" s="8">
        <v>4.0000000000000001E-3</v>
      </c>
      <c r="G259" s="8">
        <v>-106.975046819</v>
      </c>
      <c r="H259" s="8">
        <v>2.5999999999999999E-2</v>
      </c>
      <c r="I259" s="8">
        <v>3.0891182137444684</v>
      </c>
      <c r="J259" s="8">
        <v>0.191</v>
      </c>
      <c r="K259" s="8">
        <v>9.6870566987963258</v>
      </c>
      <c r="L259" s="8">
        <v>0.65100000000000002</v>
      </c>
      <c r="M259" s="139" t="s">
        <v>629</v>
      </c>
      <c r="N259" s="61">
        <v>16</v>
      </c>
      <c r="O259" s="61">
        <v>29</v>
      </c>
    </row>
    <row r="260" spans="1:15" x14ac:dyDescent="0.2">
      <c r="A260" s="56">
        <v>1977</v>
      </c>
      <c r="B260" s="61">
        <v>324</v>
      </c>
      <c r="C260" s="5">
        <v>41547</v>
      </c>
      <c r="D260" s="139" t="s">
        <v>633</v>
      </c>
      <c r="E260" s="8">
        <v>-23.705478126999999</v>
      </c>
      <c r="F260" s="8">
        <v>3.0000000000000001E-3</v>
      </c>
      <c r="G260" s="8">
        <v>-110.93238389300001</v>
      </c>
      <c r="H260" s="8">
        <v>1.6E-2</v>
      </c>
      <c r="I260" s="8">
        <v>3.4220155724067336</v>
      </c>
      <c r="J260" s="8">
        <v>9.5000000000000001E-2</v>
      </c>
      <c r="K260" s="8">
        <v>10.863579770819864</v>
      </c>
      <c r="L260" s="8">
        <v>0.46700000000000003</v>
      </c>
      <c r="M260" s="139" t="s">
        <v>630</v>
      </c>
      <c r="N260" s="61">
        <v>20</v>
      </c>
      <c r="O260" s="61">
        <v>38</v>
      </c>
    </row>
    <row r="261" spans="1:15" x14ac:dyDescent="0.2">
      <c r="A261" s="56">
        <v>1979</v>
      </c>
      <c r="B261" s="61">
        <v>325</v>
      </c>
      <c r="C261" s="5">
        <v>41548</v>
      </c>
      <c r="D261" s="139" t="s">
        <v>634</v>
      </c>
      <c r="E261" s="8">
        <v>-21.139063111000002</v>
      </c>
      <c r="F261" s="8">
        <v>4.0000000000000001E-3</v>
      </c>
      <c r="G261" s="8">
        <v>-106.483907981</v>
      </c>
      <c r="H261" s="8">
        <v>2.1000000000000001E-2</v>
      </c>
      <c r="I261" s="8">
        <v>3.113815151151611</v>
      </c>
      <c r="J261" s="8">
        <v>0.13500000000000001</v>
      </c>
      <c r="K261" s="8">
        <v>11.105585398135887</v>
      </c>
      <c r="L261" s="8">
        <v>0.52</v>
      </c>
      <c r="M261" s="139" t="s">
        <v>631</v>
      </c>
      <c r="N261" s="61">
        <v>20</v>
      </c>
      <c r="O261" s="61">
        <v>40</v>
      </c>
    </row>
    <row r="262" spans="1:15" x14ac:dyDescent="0.2">
      <c r="A262" s="56">
        <v>1982</v>
      </c>
      <c r="B262" s="61">
        <v>326</v>
      </c>
      <c r="C262" s="5">
        <v>41550</v>
      </c>
      <c r="D262" s="139" t="s">
        <v>635</v>
      </c>
      <c r="E262" s="8">
        <v>-24.106239631000001</v>
      </c>
      <c r="F262" s="8">
        <v>3.0000000000000001E-3</v>
      </c>
      <c r="G262" s="8">
        <v>-111.557127549</v>
      </c>
      <c r="H262" s="8">
        <v>1.2999999999999999E-2</v>
      </c>
      <c r="I262" s="8">
        <v>4.2911556041809185</v>
      </c>
      <c r="J262" s="8">
        <v>0.126</v>
      </c>
      <c r="K262" s="8">
        <v>10.812171291772144</v>
      </c>
      <c r="L262" s="8">
        <v>0.40300000000000002</v>
      </c>
      <c r="M262" s="139"/>
      <c r="N262" s="61">
        <v>20</v>
      </c>
      <c r="O262" s="61">
        <v>40</v>
      </c>
    </row>
    <row r="263" spans="1:15" x14ac:dyDescent="0.2">
      <c r="A263" s="56">
        <v>1984</v>
      </c>
      <c r="B263" s="61">
        <v>327</v>
      </c>
      <c r="C263" s="5">
        <v>41552</v>
      </c>
      <c r="D263" s="139" t="s">
        <v>638</v>
      </c>
      <c r="E263" s="8">
        <v>-23.356738548999999</v>
      </c>
      <c r="F263" s="8">
        <v>3.0000000000000001E-3</v>
      </c>
      <c r="G263" s="8">
        <v>-110.10441037299999</v>
      </c>
      <c r="H263" s="8">
        <v>1.2E-2</v>
      </c>
      <c r="I263" s="8">
        <v>3.4664274760467517</v>
      </c>
      <c r="J263" s="8">
        <v>9.9000000000000005E-2</v>
      </c>
      <c r="K263" s="8">
        <v>11.650627160109783</v>
      </c>
      <c r="L263" s="8">
        <v>0.4</v>
      </c>
      <c r="M263" s="139" t="s">
        <v>637</v>
      </c>
      <c r="N263" s="61">
        <v>20</v>
      </c>
      <c r="O263" s="61">
        <v>40</v>
      </c>
    </row>
    <row r="264" spans="1:15" x14ac:dyDescent="0.2">
      <c r="A264" s="65">
        <v>1986</v>
      </c>
      <c r="B264" s="77">
        <v>328</v>
      </c>
      <c r="C264" s="44">
        <v>41552</v>
      </c>
      <c r="D264" s="151" t="s">
        <v>647</v>
      </c>
      <c r="E264" s="45">
        <v>-36.742750803999996</v>
      </c>
      <c r="F264" s="45">
        <v>4.0000000000000001E-3</v>
      </c>
      <c r="G264" s="45">
        <v>-59.574503677999999</v>
      </c>
      <c r="H264" s="45">
        <v>2.3E-2</v>
      </c>
      <c r="I264" s="45">
        <v>0.63141243123943092</v>
      </c>
      <c r="J264" s="45">
        <v>0.155</v>
      </c>
      <c r="K264" s="45">
        <v>-0.19585671791577663</v>
      </c>
      <c r="L264" s="45">
        <v>0.63600000000000001</v>
      </c>
      <c r="M264" s="139" t="s">
        <v>639</v>
      </c>
      <c r="N264" s="61">
        <v>20</v>
      </c>
      <c r="O264" s="61">
        <v>27</v>
      </c>
    </row>
    <row r="265" spans="1:15" x14ac:dyDescent="0.2">
      <c r="A265" s="65">
        <v>1990</v>
      </c>
      <c r="B265" s="77">
        <v>331</v>
      </c>
      <c r="C265" s="44">
        <v>41557</v>
      </c>
      <c r="D265" s="151" t="s">
        <v>640</v>
      </c>
      <c r="E265" s="45">
        <v>-36.668571391</v>
      </c>
      <c r="F265" s="45">
        <v>5.0000000000000001E-3</v>
      </c>
      <c r="G265" s="45">
        <v>-59.168043949999998</v>
      </c>
      <c r="H265" s="45">
        <v>1.7999999999999999E-2</v>
      </c>
      <c r="I265" s="45">
        <v>-0.14292363508450201</v>
      </c>
      <c r="J265" s="45">
        <v>0.13200000000000001</v>
      </c>
      <c r="K265" s="45">
        <v>-0.80073568853267219</v>
      </c>
      <c r="L265" s="45">
        <v>0.51300000000000001</v>
      </c>
      <c r="M265" s="139"/>
      <c r="N265" s="61">
        <v>20</v>
      </c>
      <c r="O265" s="61">
        <v>40</v>
      </c>
    </row>
    <row r="266" spans="1:15" x14ac:dyDescent="0.2">
      <c r="A266" s="56">
        <v>1991</v>
      </c>
      <c r="B266" s="61">
        <v>333</v>
      </c>
      <c r="C266" s="5">
        <v>41557</v>
      </c>
      <c r="D266" s="139" t="s">
        <v>642</v>
      </c>
      <c r="E266" s="8">
        <v>-62.580307384000001</v>
      </c>
      <c r="F266" s="8">
        <v>3.0000000000000001E-3</v>
      </c>
      <c r="G266" s="8">
        <v>-379.37174874599998</v>
      </c>
      <c r="H266" s="8">
        <v>2.3E-2</v>
      </c>
      <c r="I266" s="8">
        <v>0.9255965384589171</v>
      </c>
      <c r="J266" s="8">
        <v>0.111</v>
      </c>
      <c r="K266" s="8">
        <v>-31.754334735047294</v>
      </c>
      <c r="L266" s="8" t="s">
        <v>869</v>
      </c>
      <c r="M266" s="139" t="s">
        <v>641</v>
      </c>
      <c r="N266" s="61">
        <v>20</v>
      </c>
      <c r="O266" s="61">
        <v>40</v>
      </c>
    </row>
    <row r="267" spans="1:15" x14ac:dyDescent="0.2">
      <c r="A267" s="56">
        <v>1994</v>
      </c>
      <c r="B267" s="61">
        <v>334</v>
      </c>
      <c r="C267" s="5">
        <v>41557</v>
      </c>
      <c r="D267" s="139" t="s">
        <v>643</v>
      </c>
      <c r="E267" s="8">
        <v>-71.116720092999998</v>
      </c>
      <c r="F267" s="8">
        <v>3.0000000000000001E-3</v>
      </c>
      <c r="G267" s="8">
        <v>-319.641927189</v>
      </c>
      <c r="H267" s="8">
        <v>2.5999999999999999E-2</v>
      </c>
      <c r="I267" s="8">
        <v>2.2252502192705581</v>
      </c>
      <c r="J267" s="8">
        <v>9.1999999999999998E-2</v>
      </c>
      <c r="K267" s="8">
        <v>-17.289536395742378</v>
      </c>
      <c r="L267" s="8">
        <v>0.378</v>
      </c>
      <c r="M267" s="139"/>
      <c r="N267" s="61">
        <v>20</v>
      </c>
      <c r="O267" s="61">
        <v>40</v>
      </c>
    </row>
    <row r="268" spans="1:15" x14ac:dyDescent="0.2">
      <c r="A268" s="56">
        <v>1996</v>
      </c>
      <c r="B268" s="61">
        <v>335</v>
      </c>
      <c r="C268" s="5">
        <v>41566</v>
      </c>
      <c r="D268" s="139" t="s">
        <v>644</v>
      </c>
      <c r="E268" s="8">
        <v>-70.881658056999996</v>
      </c>
      <c r="F268" s="8">
        <v>3.0000000000000001E-3</v>
      </c>
      <c r="G268" s="8">
        <v>-379.87982340599996</v>
      </c>
      <c r="H268" s="8">
        <v>1.7999999999999999E-2</v>
      </c>
      <c r="I268" s="8">
        <v>0.85251812697140217</v>
      </c>
      <c r="J268" s="8">
        <v>8.5999999999999993E-2</v>
      </c>
      <c r="K268" s="8">
        <v>-26.999816686077317</v>
      </c>
      <c r="L268" s="8">
        <v>0.28899999999999998</v>
      </c>
      <c r="M268" s="139"/>
      <c r="N268" s="61">
        <v>20</v>
      </c>
      <c r="O268" s="61">
        <v>40</v>
      </c>
    </row>
    <row r="269" spans="1:15" x14ac:dyDescent="0.2">
      <c r="A269" s="56">
        <v>1998</v>
      </c>
      <c r="B269" s="61">
        <v>336</v>
      </c>
      <c r="C269" s="5">
        <v>41571</v>
      </c>
      <c r="D269" s="139" t="s">
        <v>645</v>
      </c>
      <c r="E269" s="8">
        <v>-77.354534367999989</v>
      </c>
      <c r="F269" s="8">
        <v>3.0000000000000001E-3</v>
      </c>
      <c r="G269" s="8">
        <v>-397.09602734799995</v>
      </c>
      <c r="H269" s="8">
        <v>1.6E-2</v>
      </c>
      <c r="I269" s="8">
        <v>0.80793780472854237</v>
      </c>
      <c r="J269" s="8">
        <v>7.6999999999999999E-2</v>
      </c>
      <c r="K269" s="8">
        <v>-27.748438079865601</v>
      </c>
      <c r="L269" s="8">
        <v>0.27100000000000002</v>
      </c>
      <c r="M269" s="139"/>
      <c r="N269" s="61">
        <v>20</v>
      </c>
      <c r="O269" s="61">
        <v>40</v>
      </c>
    </row>
    <row r="270" spans="1:15" x14ac:dyDescent="0.2">
      <c r="A270" s="56">
        <v>2000</v>
      </c>
      <c r="B270" s="61">
        <v>337</v>
      </c>
      <c r="C270" s="5">
        <v>41572</v>
      </c>
      <c r="D270" s="139" t="s">
        <v>646</v>
      </c>
      <c r="E270" s="8">
        <v>-73.343065852000009</v>
      </c>
      <c r="F270" s="8">
        <v>4.0000000000000001E-3</v>
      </c>
      <c r="G270" s="8">
        <v>-399.76059667599998</v>
      </c>
      <c r="H270" s="8">
        <v>0.02</v>
      </c>
      <c r="I270" s="8">
        <v>-1.160818191729196</v>
      </c>
      <c r="J270" s="8">
        <v>0.1</v>
      </c>
      <c r="K270" s="8">
        <v>-41.624478929722542</v>
      </c>
      <c r="L270" s="8">
        <v>0.28100000000000003</v>
      </c>
      <c r="M270" s="139"/>
      <c r="N270" s="61">
        <v>20</v>
      </c>
      <c r="O270" s="61">
        <v>40</v>
      </c>
    </row>
    <row r="271" spans="1:15" x14ac:dyDescent="0.2">
      <c r="A271" s="56">
        <v>2002</v>
      </c>
      <c r="B271" s="61">
        <v>338</v>
      </c>
      <c r="C271" s="5">
        <v>41573</v>
      </c>
      <c r="D271" s="139" t="s">
        <v>649</v>
      </c>
      <c r="E271" s="8">
        <v>-82.140551560000006</v>
      </c>
      <c r="F271" s="8">
        <v>4.0000000000000001E-3</v>
      </c>
      <c r="G271" s="8">
        <v>-342.03202475199998</v>
      </c>
      <c r="H271" s="8">
        <v>2.1000000000000001E-2</v>
      </c>
      <c r="I271" s="8">
        <v>4.2353145384137481</v>
      </c>
      <c r="J271" s="8">
        <v>0.10100000000000001</v>
      </c>
      <c r="K271" s="8">
        <v>-5.9051494950359551</v>
      </c>
      <c r="L271" s="8">
        <v>0.28100000000000003</v>
      </c>
      <c r="M271" s="139"/>
      <c r="N271" s="61">
        <v>20</v>
      </c>
      <c r="O271" s="61">
        <v>40</v>
      </c>
    </row>
    <row r="272" spans="1:15" x14ac:dyDescent="0.2">
      <c r="A272" s="56">
        <v>2004</v>
      </c>
      <c r="B272" s="61">
        <v>339</v>
      </c>
      <c r="C272" s="5">
        <v>41575</v>
      </c>
      <c r="D272" s="139" t="s">
        <v>648</v>
      </c>
      <c r="E272" s="8">
        <v>-66.374054505999993</v>
      </c>
      <c r="F272" s="8">
        <v>4.0000000000000001E-3</v>
      </c>
      <c r="G272" s="8">
        <v>-367.78106034500001</v>
      </c>
      <c r="H272" s="8">
        <v>2.1000000000000001E-2</v>
      </c>
      <c r="I272" s="8">
        <v>2.1299722908949548</v>
      </c>
      <c r="J272" s="8">
        <v>8.5999999999999993E-2</v>
      </c>
      <c r="K272" s="8">
        <v>-17.242126666037862</v>
      </c>
      <c r="L272" s="8">
        <v>0.33600000000000002</v>
      </c>
      <c r="M272" s="139"/>
      <c r="N272" s="61">
        <v>20</v>
      </c>
      <c r="O272" s="61">
        <v>38</v>
      </c>
    </row>
    <row r="273" spans="1:22" x14ac:dyDescent="0.2">
      <c r="A273" s="56">
        <v>2006</v>
      </c>
      <c r="B273" s="61">
        <v>340</v>
      </c>
      <c r="C273" s="5">
        <v>41577</v>
      </c>
      <c r="D273" s="139" t="s">
        <v>650</v>
      </c>
      <c r="E273" s="8">
        <v>-70.706324899000009</v>
      </c>
      <c r="F273" s="8">
        <v>6.0000000000000001E-3</v>
      </c>
      <c r="G273" s="8">
        <v>-346.14366598199996</v>
      </c>
      <c r="H273" s="8">
        <v>1.7000000000000001E-2</v>
      </c>
      <c r="I273" s="8">
        <v>5.8344373327330334</v>
      </c>
      <c r="J273" s="8">
        <v>8.7999999999999995E-2</v>
      </c>
      <c r="K273" s="8">
        <v>9.3694899013179178</v>
      </c>
      <c r="L273" s="8">
        <v>0.3</v>
      </c>
      <c r="M273" s="139"/>
      <c r="N273" s="61">
        <v>20</v>
      </c>
      <c r="O273" s="61">
        <v>40</v>
      </c>
    </row>
    <row r="274" spans="1:22" x14ac:dyDescent="0.2">
      <c r="A274" s="66">
        <v>2008</v>
      </c>
      <c r="B274" s="78">
        <v>341</v>
      </c>
      <c r="C274" s="37">
        <v>41579</v>
      </c>
      <c r="D274" s="158" t="s">
        <v>652</v>
      </c>
      <c r="E274" s="51">
        <v>-25.812366130000001</v>
      </c>
      <c r="F274" s="51">
        <v>6.0000000000000001E-3</v>
      </c>
      <c r="G274" s="51">
        <v>-153.90703221800001</v>
      </c>
      <c r="H274" s="38">
        <v>1.7000000000000001E-2</v>
      </c>
      <c r="I274" s="38">
        <v>2.7112614243789412</v>
      </c>
      <c r="J274" s="38">
        <v>0.13100000000000001</v>
      </c>
      <c r="K274" s="38">
        <v>8.3332113714671419</v>
      </c>
      <c r="L274" s="38">
        <v>0.43099999999999999</v>
      </c>
      <c r="M274" s="139" t="s">
        <v>651</v>
      </c>
      <c r="N274" s="61" t="s">
        <v>126</v>
      </c>
      <c r="O274" s="61" t="s">
        <v>127</v>
      </c>
    </row>
    <row r="275" spans="1:22" x14ac:dyDescent="0.2">
      <c r="A275" s="65">
        <v>2010</v>
      </c>
      <c r="B275" s="77">
        <v>342</v>
      </c>
      <c r="C275" s="44">
        <v>41580</v>
      </c>
      <c r="D275" s="151" t="s">
        <v>654</v>
      </c>
      <c r="E275" s="45">
        <v>-36.659901070000004</v>
      </c>
      <c r="F275" s="45">
        <v>3.0000000000000001E-3</v>
      </c>
      <c r="G275" s="45">
        <v>-59.101241541</v>
      </c>
      <c r="H275" s="45">
        <v>1.7999999999999999E-2</v>
      </c>
      <c r="I275" s="45">
        <v>-0.14090967798807696</v>
      </c>
      <c r="J275" s="45">
        <v>0.105</v>
      </c>
      <c r="K275" s="45">
        <v>-1.6929518352836181</v>
      </c>
      <c r="L275" s="45">
        <v>0.53900000000000003</v>
      </c>
      <c r="M275" s="139" t="s">
        <v>653</v>
      </c>
      <c r="N275" s="61" t="s">
        <v>126</v>
      </c>
      <c r="O275" s="61" t="s">
        <v>127</v>
      </c>
    </row>
    <row r="276" spans="1:22" x14ac:dyDescent="0.2">
      <c r="A276" s="56">
        <v>2012</v>
      </c>
      <c r="B276" s="61">
        <v>343</v>
      </c>
      <c r="C276" s="5">
        <v>41580</v>
      </c>
      <c r="D276" s="139" t="s">
        <v>659</v>
      </c>
      <c r="E276" s="8">
        <v>-65.836494604000009</v>
      </c>
      <c r="F276" s="8">
        <v>3.0000000000000001E-3</v>
      </c>
      <c r="G276" s="8">
        <v>-235.63554567400001</v>
      </c>
      <c r="H276" s="8">
        <v>1.9E-2</v>
      </c>
      <c r="I276" s="8">
        <v>5.1281971612593402</v>
      </c>
      <c r="J276" s="8">
        <v>9.0999999999999998E-2</v>
      </c>
      <c r="K276" s="8">
        <v>12.269276524653927</v>
      </c>
      <c r="L276" s="8">
        <v>0.40699999999999997</v>
      </c>
      <c r="M276" s="139" t="s">
        <v>512</v>
      </c>
      <c r="N276" s="61" t="s">
        <v>126</v>
      </c>
      <c r="O276" s="61" t="s">
        <v>127</v>
      </c>
    </row>
    <row r="277" spans="1:22" x14ac:dyDescent="0.2">
      <c r="A277" s="56">
        <v>2014</v>
      </c>
      <c r="B277" s="61">
        <v>344</v>
      </c>
      <c r="C277" s="5">
        <v>41585</v>
      </c>
      <c r="D277" s="139" t="s">
        <v>660</v>
      </c>
      <c r="E277" s="8">
        <v>-44.610999999999997</v>
      </c>
      <c r="F277" s="8">
        <v>4.0000000000000001E-3</v>
      </c>
      <c r="G277" s="8">
        <v>-220.875</v>
      </c>
      <c r="H277" s="8">
        <v>1.7999999999999999E-2</v>
      </c>
      <c r="I277" s="8">
        <v>5.0010000000000003</v>
      </c>
      <c r="J277" s="8">
        <v>0.99</v>
      </c>
      <c r="K277" s="8">
        <v>8.4700000000000006</v>
      </c>
      <c r="L277" s="8">
        <v>0.39</v>
      </c>
      <c r="M277" s="139" t="s">
        <v>655</v>
      </c>
      <c r="N277" s="61" t="s">
        <v>126</v>
      </c>
      <c r="O277" s="61" t="s">
        <v>127</v>
      </c>
    </row>
    <row r="278" spans="1:22" x14ac:dyDescent="0.2">
      <c r="A278" s="56">
        <v>2016</v>
      </c>
      <c r="B278" s="61">
        <v>345</v>
      </c>
      <c r="C278" s="5">
        <v>41587</v>
      </c>
      <c r="D278" s="139" t="s">
        <v>661</v>
      </c>
      <c r="E278" s="8">
        <v>-58.026462121000002</v>
      </c>
      <c r="F278" s="8">
        <v>6.0000000000000001E-3</v>
      </c>
      <c r="G278" s="8">
        <v>-214.17503656299999</v>
      </c>
      <c r="H278" s="8">
        <v>1.7000000000000001E-2</v>
      </c>
      <c r="I278" s="8">
        <v>6.2967626645795693</v>
      </c>
      <c r="J278" s="8">
        <v>0.113</v>
      </c>
      <c r="K278" s="8">
        <v>11.246445161142704</v>
      </c>
      <c r="L278" s="8">
        <v>0.42599999999999999</v>
      </c>
      <c r="M278" s="139" t="s">
        <v>655</v>
      </c>
      <c r="N278" s="61" t="s">
        <v>126</v>
      </c>
      <c r="O278" s="61" t="s">
        <v>127</v>
      </c>
    </row>
    <row r="279" spans="1:22" x14ac:dyDescent="0.2">
      <c r="A279" s="56">
        <v>2019</v>
      </c>
      <c r="B279" s="61">
        <v>346</v>
      </c>
      <c r="C279" s="5">
        <v>41590</v>
      </c>
      <c r="D279" s="139" t="s">
        <v>662</v>
      </c>
      <c r="E279" s="8">
        <v>-52.840646794000001</v>
      </c>
      <c r="F279" s="8">
        <v>4.0000000000000001E-3</v>
      </c>
      <c r="G279" s="8">
        <v>-221.53271034299999</v>
      </c>
      <c r="H279" s="8">
        <v>1.7000000000000001E-2</v>
      </c>
      <c r="I279" s="8">
        <v>4.7301605537755087</v>
      </c>
      <c r="J279" s="8">
        <v>9.6000000000000002E-2</v>
      </c>
      <c r="K279" s="8">
        <v>12.406345477867564</v>
      </c>
      <c r="L279" s="8">
        <v>0.40899999999999997</v>
      </c>
      <c r="M279" s="139" t="s">
        <v>655</v>
      </c>
      <c r="N279" s="61" t="s">
        <v>126</v>
      </c>
      <c r="O279" s="61" t="s">
        <v>127</v>
      </c>
    </row>
    <row r="280" spans="1:22" x14ac:dyDescent="0.2">
      <c r="A280" s="56">
        <v>2021</v>
      </c>
      <c r="B280" s="61">
        <v>347</v>
      </c>
      <c r="C280" s="5">
        <v>41592</v>
      </c>
      <c r="D280" s="139" t="s">
        <v>663</v>
      </c>
      <c r="E280" s="8">
        <v>-63.752727456999992</v>
      </c>
      <c r="F280" s="8">
        <v>4.0000000000000001E-3</v>
      </c>
      <c r="G280" s="8">
        <v>-208.068731853</v>
      </c>
      <c r="H280" s="8">
        <v>1.4E-2</v>
      </c>
      <c r="I280" s="8">
        <v>4.2866134258783273</v>
      </c>
      <c r="J280" s="8">
        <v>0.1</v>
      </c>
      <c r="K280" s="8">
        <v>11.613560235212983</v>
      </c>
      <c r="L280" s="8">
        <v>0.36399999999999999</v>
      </c>
      <c r="M280" s="139" t="s">
        <v>656</v>
      </c>
      <c r="N280" s="61" t="s">
        <v>143</v>
      </c>
      <c r="O280" s="61" t="s">
        <v>127</v>
      </c>
    </row>
    <row r="281" spans="1:22" x14ac:dyDescent="0.2">
      <c r="A281" s="56">
        <v>2023</v>
      </c>
      <c r="B281" s="61">
        <v>348</v>
      </c>
      <c r="C281" s="5">
        <v>41593</v>
      </c>
      <c r="D281" s="139" t="s">
        <v>664</v>
      </c>
      <c r="E281" s="8">
        <v>-63.335588680000001</v>
      </c>
      <c r="F281" s="8">
        <v>3.0000000000000001E-3</v>
      </c>
      <c r="G281" s="8">
        <v>-252.22512420199999</v>
      </c>
      <c r="H281" s="8">
        <v>1.6E-2</v>
      </c>
      <c r="I281" s="8">
        <v>3.8876356621120323</v>
      </c>
      <c r="J281" s="8">
        <v>8.6999999999999994E-2</v>
      </c>
      <c r="K281" s="8">
        <v>7.2867530692368732</v>
      </c>
      <c r="L281" s="8">
        <v>0.38600000000000001</v>
      </c>
      <c r="M281" s="139" t="s">
        <v>656</v>
      </c>
      <c r="N281" s="61" t="s">
        <v>143</v>
      </c>
      <c r="O281" s="61" t="s">
        <v>127</v>
      </c>
    </row>
    <row r="282" spans="1:22" x14ac:dyDescent="0.2">
      <c r="A282" s="56">
        <v>2025</v>
      </c>
      <c r="B282" s="61">
        <v>349</v>
      </c>
      <c r="C282" s="5">
        <v>41593</v>
      </c>
      <c r="D282" s="139" t="s">
        <v>665</v>
      </c>
      <c r="E282" s="8">
        <v>-63.739240290999994</v>
      </c>
      <c r="F282" s="8">
        <v>3.0000000000000001E-3</v>
      </c>
      <c r="G282" s="8">
        <v>-249.15033163000001</v>
      </c>
      <c r="H282" s="8">
        <v>1.7000000000000001E-2</v>
      </c>
      <c r="I282" s="8">
        <v>5.6990766648843394</v>
      </c>
      <c r="J282" s="8">
        <v>8.5999999999999993E-2</v>
      </c>
      <c r="K282" s="8">
        <v>8.8876954205479031</v>
      </c>
      <c r="L282" s="8">
        <v>0.38600000000000001</v>
      </c>
      <c r="M282" s="139" t="s">
        <v>263</v>
      </c>
      <c r="N282" s="61" t="s">
        <v>126</v>
      </c>
      <c r="O282" s="61" t="s">
        <v>127</v>
      </c>
    </row>
    <row r="283" spans="1:22" x14ac:dyDescent="0.2">
      <c r="A283" s="56">
        <v>2027</v>
      </c>
      <c r="B283" s="61">
        <v>350</v>
      </c>
      <c r="C283" s="5">
        <v>41593</v>
      </c>
      <c r="D283" s="139" t="s">
        <v>666</v>
      </c>
      <c r="E283" s="8">
        <v>-51.956274052000005</v>
      </c>
      <c r="F283" s="8">
        <v>4.0000000000000001E-3</v>
      </c>
      <c r="G283" s="8">
        <v>-212.28386977300002</v>
      </c>
      <c r="H283" s="8">
        <v>1.6E-2</v>
      </c>
      <c r="I283" s="8">
        <v>6.0561517309130064</v>
      </c>
      <c r="J283" s="8">
        <v>0.123</v>
      </c>
      <c r="K283" s="8">
        <v>7.0808607618912944</v>
      </c>
      <c r="L283" s="8">
        <v>0.39</v>
      </c>
      <c r="M283" s="139" t="s">
        <v>263</v>
      </c>
      <c r="N283" s="61" t="s">
        <v>126</v>
      </c>
      <c r="O283" s="61" t="s">
        <v>127</v>
      </c>
    </row>
    <row r="284" spans="1:22" x14ac:dyDescent="0.2">
      <c r="A284" s="56">
        <v>2029</v>
      </c>
      <c r="B284" s="61">
        <v>351</v>
      </c>
      <c r="C284" s="5">
        <v>41598</v>
      </c>
      <c r="D284" s="139" t="s">
        <v>667</v>
      </c>
      <c r="E284" s="8">
        <v>-51.943750254999998</v>
      </c>
      <c r="F284" s="8">
        <v>3.0000000000000001E-3</v>
      </c>
      <c r="G284" s="8">
        <v>-210.71636535900001</v>
      </c>
      <c r="H284" s="8">
        <v>1.4E-2</v>
      </c>
      <c r="I284" s="8">
        <v>3.9927903014111976</v>
      </c>
      <c r="J284" s="8">
        <v>8.6999999999999994E-2</v>
      </c>
      <c r="K284" s="8">
        <v>5.771059959274849</v>
      </c>
      <c r="L284" s="8">
        <v>0.35899999999999999</v>
      </c>
      <c r="M284" s="139" t="s">
        <v>263</v>
      </c>
      <c r="N284" s="61" t="s">
        <v>126</v>
      </c>
      <c r="O284" s="61" t="s">
        <v>127</v>
      </c>
    </row>
    <row r="285" spans="1:22" ht="13.5" customHeight="1" x14ac:dyDescent="0.2">
      <c r="A285" s="56">
        <v>2029</v>
      </c>
      <c r="B285" s="61">
        <v>352</v>
      </c>
      <c r="C285" s="5">
        <v>41606</v>
      </c>
      <c r="D285" s="139" t="s">
        <v>658</v>
      </c>
      <c r="E285" s="8">
        <v>-43.055707860999995</v>
      </c>
      <c r="F285" s="8">
        <v>3.0000000000000001E-3</v>
      </c>
      <c r="G285" s="8">
        <v>-180.24599894400001</v>
      </c>
      <c r="H285" s="8">
        <v>0.01</v>
      </c>
      <c r="I285" s="8">
        <v>2.6386981895474282</v>
      </c>
      <c r="J285" s="8">
        <v>9.0999999999999998E-2</v>
      </c>
      <c r="K285" s="8">
        <v>7.3763317110351334</v>
      </c>
      <c r="L285" s="8">
        <v>0.33800000000000002</v>
      </c>
      <c r="M285" s="139" t="s">
        <v>263</v>
      </c>
      <c r="N285" s="61" t="s">
        <v>126</v>
      </c>
      <c r="O285" s="61" t="s">
        <v>127</v>
      </c>
    </row>
    <row r="286" spans="1:22" x14ac:dyDescent="0.2">
      <c r="A286" s="56">
        <v>2034</v>
      </c>
      <c r="B286" s="61">
        <v>353</v>
      </c>
      <c r="C286" s="5">
        <v>41606</v>
      </c>
      <c r="D286" s="139" t="s">
        <v>974</v>
      </c>
      <c r="E286" s="8">
        <v>-55.261593091000002</v>
      </c>
      <c r="F286" s="8">
        <v>1.0999999999999999E-2</v>
      </c>
      <c r="G286" s="8">
        <v>-582.95161973399991</v>
      </c>
      <c r="H286" s="8">
        <v>0.09</v>
      </c>
      <c r="I286" s="8">
        <v>2.0375660366540593</v>
      </c>
      <c r="J286" s="8">
        <v>0.47809765833899132</v>
      </c>
      <c r="K286" s="8">
        <v>-11.677361427773093</v>
      </c>
      <c r="L286" s="8">
        <v>3.1772127799310712</v>
      </c>
      <c r="M286" s="139" t="s">
        <v>752</v>
      </c>
      <c r="N286" s="61" t="s">
        <v>148</v>
      </c>
      <c r="O286" s="61" t="s">
        <v>133</v>
      </c>
    </row>
    <row r="287" spans="1:22" x14ac:dyDescent="0.2">
      <c r="A287" s="56">
        <v>2036</v>
      </c>
      <c r="B287" s="61">
        <v>354</v>
      </c>
      <c r="C287" s="5">
        <v>41606</v>
      </c>
      <c r="D287" s="139" t="s">
        <v>707</v>
      </c>
      <c r="E287" s="8">
        <v>-72.901842850000008</v>
      </c>
      <c r="F287" s="8">
        <v>4.0000000000000001E-3</v>
      </c>
      <c r="G287" s="8">
        <v>-203.49417815500001</v>
      </c>
      <c r="H287" s="8">
        <v>1.6E-2</v>
      </c>
      <c r="I287" s="8">
        <v>5.5850623715039127</v>
      </c>
      <c r="J287" s="8">
        <v>0.114</v>
      </c>
      <c r="K287" s="8">
        <v>15.754934889211425</v>
      </c>
      <c r="L287" s="8">
        <v>0.39700000000000002</v>
      </c>
      <c r="M287" s="139" t="s">
        <v>668</v>
      </c>
      <c r="N287" s="61">
        <v>20</v>
      </c>
      <c r="O287" s="61">
        <v>40</v>
      </c>
    </row>
    <row r="288" spans="1:22" x14ac:dyDescent="0.2">
      <c r="A288" s="65">
        <v>2087</v>
      </c>
      <c r="B288" s="77">
        <v>399</v>
      </c>
      <c r="C288" s="44">
        <v>41650</v>
      </c>
      <c r="D288" s="151" t="s">
        <v>669</v>
      </c>
      <c r="E288" s="45">
        <v>-36.657974332000002</v>
      </c>
      <c r="F288" s="45">
        <v>3.0000000000000001E-3</v>
      </c>
      <c r="G288" s="45">
        <v>-59.094655388000007</v>
      </c>
      <c r="H288" s="45">
        <v>0.03</v>
      </c>
      <c r="I288" s="45">
        <v>0.13009148982101593</v>
      </c>
      <c r="J288" s="45">
        <v>0.14799999999999999</v>
      </c>
      <c r="K288" s="45">
        <v>0.23533115302876162</v>
      </c>
      <c r="L288" s="45">
        <v>0.48099999999999998</v>
      </c>
      <c r="M288" s="139" t="s">
        <v>670</v>
      </c>
      <c r="N288" s="61">
        <v>20</v>
      </c>
      <c r="O288" s="61">
        <v>39</v>
      </c>
      <c r="V288" s="160" t="s">
        <v>671</v>
      </c>
    </row>
    <row r="289" spans="1:24" s="52" customFormat="1" x14ac:dyDescent="0.2">
      <c r="A289" s="62"/>
      <c r="B289" s="74"/>
      <c r="C289" s="31"/>
      <c r="D289" s="159" t="s">
        <v>673</v>
      </c>
      <c r="E289" s="27"/>
      <c r="F289" s="27"/>
      <c r="G289" s="27"/>
      <c r="H289" s="27"/>
      <c r="I289" s="27"/>
      <c r="J289" s="27"/>
      <c r="K289" s="27"/>
      <c r="L289" s="27"/>
      <c r="M289" s="146"/>
      <c r="N289" s="74"/>
      <c r="O289" s="74"/>
      <c r="P289" s="193"/>
      <c r="Q289" s="193"/>
      <c r="R289" s="193"/>
      <c r="S289" s="193"/>
      <c r="T289" s="193"/>
      <c r="U289" s="193"/>
      <c r="V289" s="180"/>
      <c r="W289" s="129"/>
      <c r="X289" s="129"/>
    </row>
    <row r="290" spans="1:24" ht="13.5" customHeight="1" x14ac:dyDescent="0.2">
      <c r="A290" s="56">
        <v>2089</v>
      </c>
      <c r="B290" s="61">
        <v>400</v>
      </c>
      <c r="C290" s="5">
        <v>41660</v>
      </c>
      <c r="D290" s="139" t="s">
        <v>740</v>
      </c>
      <c r="E290" s="8">
        <v>-39.265814214999999</v>
      </c>
      <c r="F290" s="8">
        <v>4.0000000000000001E-3</v>
      </c>
      <c r="G290" s="8">
        <v>-113.25823678099999</v>
      </c>
      <c r="H290" s="8">
        <v>2.8000000000000001E-2</v>
      </c>
      <c r="I290" s="8">
        <v>2.2659985793187509</v>
      </c>
      <c r="J290" s="8">
        <v>0.10953389026573551</v>
      </c>
      <c r="K290" s="8">
        <v>5.4104569444657358</v>
      </c>
      <c r="L290" s="8">
        <v>0.66002482616900038</v>
      </c>
      <c r="M290" s="139" t="s">
        <v>672</v>
      </c>
      <c r="N290" s="61">
        <v>20</v>
      </c>
      <c r="O290" s="61">
        <v>40</v>
      </c>
      <c r="V290" s="160" t="s">
        <v>674</v>
      </c>
    </row>
    <row r="291" spans="1:24" x14ac:dyDescent="0.2">
      <c r="A291" s="56">
        <v>2092</v>
      </c>
      <c r="B291" s="61">
        <v>400</v>
      </c>
      <c r="C291" s="5">
        <v>41660</v>
      </c>
      <c r="D291" s="139" t="s">
        <v>741</v>
      </c>
      <c r="E291" s="8"/>
      <c r="F291" s="8"/>
      <c r="G291" s="8">
        <v>-112.08307891</v>
      </c>
      <c r="H291" s="8">
        <v>1.9E-2</v>
      </c>
      <c r="I291" s="8"/>
      <c r="J291" s="8"/>
      <c r="K291" s="8">
        <v>7.6435468884206159</v>
      </c>
      <c r="L291" s="8">
        <v>0.59422158112843315</v>
      </c>
      <c r="M291" s="139" t="s">
        <v>681</v>
      </c>
      <c r="N291" s="61"/>
      <c r="O291" s="61">
        <v>40</v>
      </c>
    </row>
    <row r="292" spans="1:24" x14ac:dyDescent="0.2">
      <c r="A292" s="56">
        <v>2092</v>
      </c>
      <c r="B292" s="61">
        <v>401</v>
      </c>
      <c r="C292" s="5">
        <v>41660</v>
      </c>
      <c r="D292" s="139" t="s">
        <v>743</v>
      </c>
      <c r="E292" s="8">
        <v>-37.025981289999997</v>
      </c>
      <c r="F292" s="8">
        <v>4.0000000000000001E-3</v>
      </c>
      <c r="G292" s="8">
        <v>-66.828680767999998</v>
      </c>
      <c r="H292" s="8">
        <v>1.9E-2</v>
      </c>
      <c r="I292" s="8">
        <v>-1.9427107545433309E-2</v>
      </c>
      <c r="J292" s="8">
        <v>0.11962627710077435</v>
      </c>
      <c r="K292" s="8">
        <v>-0.26795672142798654</v>
      </c>
      <c r="L292" s="8">
        <v>0.51393395589596513</v>
      </c>
      <c r="M292" s="139" t="s">
        <v>675</v>
      </c>
      <c r="N292" s="61">
        <v>20</v>
      </c>
      <c r="O292" s="61">
        <v>40</v>
      </c>
    </row>
    <row r="293" spans="1:24" x14ac:dyDescent="0.2">
      <c r="A293" s="56">
        <v>2092</v>
      </c>
      <c r="B293" s="61">
        <v>402</v>
      </c>
      <c r="C293" s="5">
        <v>41660</v>
      </c>
      <c r="D293" s="139" t="s">
        <v>742</v>
      </c>
      <c r="E293" s="8">
        <v>-39.142502983</v>
      </c>
      <c r="F293" s="8">
        <v>3.0000000000000001E-3</v>
      </c>
      <c r="G293" s="8">
        <v>-112.715349598</v>
      </c>
      <c r="H293" s="8">
        <v>2.1000000000000001E-2</v>
      </c>
      <c r="I293" s="8">
        <v>1.9813776713590858</v>
      </c>
      <c r="J293" s="8">
        <v>0.1128391160896213</v>
      </c>
      <c r="K293" s="8">
        <v>6.9600705783068317</v>
      </c>
      <c r="L293" s="8">
        <v>0.58129835776710692</v>
      </c>
      <c r="M293" s="139" t="s">
        <v>427</v>
      </c>
      <c r="N293" s="61">
        <v>20</v>
      </c>
      <c r="O293" s="61">
        <v>40</v>
      </c>
    </row>
    <row r="294" spans="1:24" x14ac:dyDescent="0.2">
      <c r="A294" s="66">
        <v>2097</v>
      </c>
      <c r="B294" s="78">
        <v>403</v>
      </c>
      <c r="C294" s="37" t="s">
        <v>676</v>
      </c>
      <c r="D294" s="158" t="s">
        <v>677</v>
      </c>
      <c r="E294" s="51">
        <v>-25.767087786999998</v>
      </c>
      <c r="F294" s="51">
        <v>3.0000000000000001E-3</v>
      </c>
      <c r="G294" s="51">
        <v>-153.838348051</v>
      </c>
      <c r="H294" s="38">
        <v>0.02</v>
      </c>
      <c r="I294" s="38">
        <v>2.8856445008680343</v>
      </c>
      <c r="J294" s="38">
        <v>0.10577729636988739</v>
      </c>
      <c r="K294" s="38">
        <v>9.0836939534413297</v>
      </c>
      <c r="L294" s="38">
        <v>0.6045122393968867</v>
      </c>
      <c r="M294" s="139" t="s">
        <v>427</v>
      </c>
      <c r="N294" s="61">
        <v>20</v>
      </c>
      <c r="O294" s="61">
        <v>40</v>
      </c>
    </row>
    <row r="295" spans="1:24" x14ac:dyDescent="0.2">
      <c r="A295" s="56">
        <v>2099</v>
      </c>
      <c r="B295" s="61">
        <v>404</v>
      </c>
      <c r="C295" s="5">
        <v>41667</v>
      </c>
      <c r="D295" s="139" t="s">
        <v>706</v>
      </c>
      <c r="E295" s="8">
        <v>-73.198560501999992</v>
      </c>
      <c r="F295" s="8">
        <v>3.0000000000000001E-3</v>
      </c>
      <c r="G295" s="8">
        <v>-203.15828435200001</v>
      </c>
      <c r="H295" s="8">
        <v>1.7999999999999999E-2</v>
      </c>
      <c r="I295" s="8">
        <v>5.2559222454322541</v>
      </c>
      <c r="J295" s="8">
        <v>0.10894079908512207</v>
      </c>
      <c r="K295" s="8">
        <v>14.869516676636829</v>
      </c>
      <c r="L295" s="8">
        <v>0.59230130570628925</v>
      </c>
      <c r="M295" s="139" t="s">
        <v>678</v>
      </c>
      <c r="N295" s="61">
        <v>20</v>
      </c>
      <c r="O295" s="61">
        <v>40</v>
      </c>
    </row>
    <row r="296" spans="1:24" x14ac:dyDescent="0.2">
      <c r="A296" s="66">
        <v>2101</v>
      </c>
      <c r="B296" s="78">
        <v>405</v>
      </c>
      <c r="C296" s="37">
        <v>41667</v>
      </c>
      <c r="D296" s="158" t="s">
        <v>679</v>
      </c>
      <c r="E296" s="51">
        <v>-25.754563990000001</v>
      </c>
      <c r="F296" s="51">
        <v>3.0000000000000001E-3</v>
      </c>
      <c r="G296" s="51">
        <v>-154.06039549500002</v>
      </c>
      <c r="H296" s="38">
        <v>2.3E-2</v>
      </c>
      <c r="I296" s="38">
        <v>3.4142451058829515</v>
      </c>
      <c r="J296" s="38">
        <v>0.14853988912071897</v>
      </c>
      <c r="K296" s="38">
        <v>8.3713086764438671</v>
      </c>
      <c r="L296" s="38">
        <v>0.60212034304432327</v>
      </c>
      <c r="M296" s="139" t="s">
        <v>678</v>
      </c>
      <c r="N296" s="61">
        <v>20</v>
      </c>
      <c r="O296" s="61">
        <v>40</v>
      </c>
    </row>
    <row r="297" spans="1:24" x14ac:dyDescent="0.2">
      <c r="A297" s="66">
        <v>2103</v>
      </c>
      <c r="B297" s="78">
        <v>406</v>
      </c>
      <c r="C297" s="37">
        <v>41667</v>
      </c>
      <c r="D297" s="158" t="s">
        <v>680</v>
      </c>
      <c r="E297" s="51">
        <v>-25.846084045000001</v>
      </c>
      <c r="F297" s="51">
        <v>3.0000000000000001E-3</v>
      </c>
      <c r="G297" s="51">
        <v>-153.91361837100001</v>
      </c>
      <c r="H297" s="38">
        <v>2.5000000000000001E-2</v>
      </c>
      <c r="I297" s="38">
        <v>2.8890394826137644</v>
      </c>
      <c r="J297" s="38">
        <v>0.12417678387982622</v>
      </c>
      <c r="K297" s="38">
        <v>9.1186803434488706</v>
      </c>
      <c r="L297" s="38">
        <v>0.61285687922690613</v>
      </c>
      <c r="M297" s="139" t="s">
        <v>678</v>
      </c>
      <c r="N297" s="61">
        <v>20</v>
      </c>
      <c r="O297" s="61">
        <v>40</v>
      </c>
    </row>
    <row r="298" spans="1:24" x14ac:dyDescent="0.2">
      <c r="A298" s="56">
        <v>2105</v>
      </c>
      <c r="B298" s="61">
        <v>407</v>
      </c>
      <c r="C298" s="5">
        <v>41677</v>
      </c>
      <c r="D298" s="139" t="s">
        <v>682</v>
      </c>
      <c r="E298" s="8">
        <v>-42.665543416000006</v>
      </c>
      <c r="F298" s="8">
        <v>3.0000000000000001E-3</v>
      </c>
      <c r="G298" s="8">
        <v>-191.20535753600001</v>
      </c>
      <c r="H298" s="8">
        <v>2.5999999999999999E-2</v>
      </c>
      <c r="I298" s="8">
        <v>4.0209889190148118</v>
      </c>
      <c r="J298" s="8">
        <v>0.13006059994299515</v>
      </c>
      <c r="K298" s="8">
        <v>5.1981133360201603</v>
      </c>
      <c r="L298" s="8">
        <v>0.66114824495676805</v>
      </c>
      <c r="M298" s="139" t="s">
        <v>683</v>
      </c>
      <c r="N298" s="61">
        <v>20</v>
      </c>
      <c r="O298" s="61">
        <v>39</v>
      </c>
    </row>
    <row r="299" spans="1:24" x14ac:dyDescent="0.2">
      <c r="A299" s="56">
        <v>2108</v>
      </c>
      <c r="B299" s="61">
        <v>409</v>
      </c>
      <c r="C299" s="5">
        <v>41681</v>
      </c>
      <c r="D299" s="139" t="s">
        <v>684</v>
      </c>
      <c r="E299" s="8">
        <v>-44.687654946999999</v>
      </c>
      <c r="F299" s="8">
        <v>6.0000000000000001E-3</v>
      </c>
      <c r="G299" s="8">
        <v>-191.17995380300002</v>
      </c>
      <c r="H299" s="8">
        <v>3.6999999999999998E-2</v>
      </c>
      <c r="I299" s="8">
        <v>3.6300108519540242</v>
      </c>
      <c r="J299" s="8">
        <v>0.21906140176671984</v>
      </c>
      <c r="K299" s="8">
        <v>3.7382835866854869</v>
      </c>
      <c r="L299" s="8">
        <v>0.92351262028864811</v>
      </c>
      <c r="M299" s="139" t="s">
        <v>685</v>
      </c>
      <c r="N299" s="61">
        <v>10</v>
      </c>
      <c r="O299" s="61">
        <v>20</v>
      </c>
    </row>
    <row r="300" spans="1:24" x14ac:dyDescent="0.2">
      <c r="A300" s="56">
        <v>2110</v>
      </c>
      <c r="B300" s="61">
        <v>410</v>
      </c>
      <c r="C300" s="5">
        <v>41682</v>
      </c>
      <c r="D300" s="139" t="s">
        <v>688</v>
      </c>
      <c r="E300" s="8">
        <v>-46.782982521999998</v>
      </c>
      <c r="F300" s="8">
        <v>6.0000000000000001E-3</v>
      </c>
      <c r="G300" s="8">
        <v>-195.87588089200003</v>
      </c>
      <c r="H300" s="8">
        <v>2.7E-2</v>
      </c>
      <c r="I300" s="8">
        <v>4.1489607761828751</v>
      </c>
      <c r="J300" s="8">
        <v>0.21880003914185558</v>
      </c>
      <c r="K300" s="8">
        <v>-2.8314330166941959</v>
      </c>
      <c r="L300" s="8">
        <v>0.57461717414808966</v>
      </c>
      <c r="M300" s="139" t="s">
        <v>686</v>
      </c>
      <c r="N300" s="61">
        <v>20</v>
      </c>
      <c r="O300" s="61">
        <v>40</v>
      </c>
      <c r="V300" s="160" t="s">
        <v>687</v>
      </c>
    </row>
    <row r="301" spans="1:24" ht="12.75" customHeight="1" x14ac:dyDescent="0.2">
      <c r="A301" s="56">
        <v>2112</v>
      </c>
      <c r="B301" s="61">
        <v>411</v>
      </c>
      <c r="C301" s="5">
        <v>41684</v>
      </c>
      <c r="D301" s="139" t="s">
        <v>689</v>
      </c>
      <c r="E301" s="8">
        <v>-46.697242680999999</v>
      </c>
      <c r="F301" s="8">
        <v>3.0000000000000001E-3</v>
      </c>
      <c r="G301" s="8">
        <v>-194.27544571300001</v>
      </c>
      <c r="H301" s="8">
        <v>2.3E-2</v>
      </c>
      <c r="I301" s="8">
        <v>3.0177540016940174</v>
      </c>
      <c r="J301" s="8">
        <v>0.11304559285024603</v>
      </c>
      <c r="K301" s="8">
        <v>-2.136048553469938</v>
      </c>
      <c r="L301" s="8">
        <v>0.55332646948659014</v>
      </c>
      <c r="M301" s="139" t="s">
        <v>690</v>
      </c>
      <c r="N301" s="61">
        <v>20</v>
      </c>
      <c r="O301" s="61">
        <v>40</v>
      </c>
    </row>
    <row r="302" spans="1:24" x14ac:dyDescent="0.2">
      <c r="A302" s="56">
        <v>2114</v>
      </c>
      <c r="B302" s="61">
        <v>412</v>
      </c>
      <c r="C302" s="5">
        <v>41689</v>
      </c>
      <c r="D302" s="139" t="s">
        <v>691</v>
      </c>
      <c r="E302" s="8">
        <v>-38.466217945000004</v>
      </c>
      <c r="F302" s="8">
        <v>3.0000000000000001E-3</v>
      </c>
      <c r="G302" s="8">
        <v>-412.4210645</v>
      </c>
      <c r="H302" s="8">
        <v>4.2000000000000003E-2</v>
      </c>
      <c r="I302" s="8">
        <v>6.4961255111881666</v>
      </c>
      <c r="J302" s="8">
        <v>0.17711569502218358</v>
      </c>
      <c r="K302" s="8">
        <v>16.296524234264531</v>
      </c>
      <c r="L302" s="8">
        <v>0.86117656898296568</v>
      </c>
      <c r="M302" s="139" t="s">
        <v>692</v>
      </c>
      <c r="N302" s="61">
        <v>20</v>
      </c>
      <c r="O302" s="61">
        <v>32</v>
      </c>
      <c r="V302" s="160" t="s">
        <v>693</v>
      </c>
    </row>
    <row r="303" spans="1:24" x14ac:dyDescent="0.2">
      <c r="A303" s="56">
        <v>2116</v>
      </c>
      <c r="B303" s="61">
        <v>413</v>
      </c>
      <c r="C303" s="5">
        <v>41691</v>
      </c>
      <c r="D303" s="139" t="s">
        <v>695</v>
      </c>
      <c r="E303" s="8">
        <v>-38.446950565000002</v>
      </c>
      <c r="F303" s="8">
        <v>4.0000000000000001E-3</v>
      </c>
      <c r="G303" s="8">
        <v>-411.17439982499997</v>
      </c>
      <c r="H303" s="8">
        <v>3.9E-2</v>
      </c>
      <c r="I303" s="8">
        <v>4.1577352276536139</v>
      </c>
      <c r="J303" s="8">
        <v>0.16598726666410865</v>
      </c>
      <c r="K303" s="8">
        <v>12.71962749699429</v>
      </c>
      <c r="L303" s="8">
        <v>0.78672751517202211</v>
      </c>
      <c r="M303" s="139" t="s">
        <v>696</v>
      </c>
      <c r="N303" s="61">
        <v>20</v>
      </c>
      <c r="O303" s="61">
        <v>40</v>
      </c>
      <c r="V303" s="160" t="s">
        <v>694</v>
      </c>
    </row>
    <row r="304" spans="1:24" x14ac:dyDescent="0.2">
      <c r="A304" s="56">
        <v>2121</v>
      </c>
      <c r="B304" s="61">
        <v>417</v>
      </c>
      <c r="C304" s="5">
        <v>41696</v>
      </c>
      <c r="D304" s="139" t="s">
        <v>697</v>
      </c>
      <c r="E304" s="8">
        <v>-35.333341957000002</v>
      </c>
      <c r="F304" s="8">
        <v>1.2E-2</v>
      </c>
      <c r="G304" s="8">
        <v>-143.55548145999998</v>
      </c>
      <c r="H304" s="8">
        <v>2.7E-2</v>
      </c>
      <c r="I304" s="8">
        <v>2.1306405769039305</v>
      </c>
      <c r="J304" s="8">
        <v>0.13017693397463687</v>
      </c>
      <c r="K304" s="8">
        <v>5.4715511850886855</v>
      </c>
      <c r="L304" s="8">
        <v>0.60073939501881113</v>
      </c>
      <c r="M304" s="139" t="s">
        <v>692</v>
      </c>
      <c r="N304" s="61">
        <v>20</v>
      </c>
      <c r="O304" s="61">
        <v>30</v>
      </c>
      <c r="V304" s="160" t="s">
        <v>698</v>
      </c>
    </row>
    <row r="305" spans="1:22" x14ac:dyDescent="0.2">
      <c r="A305" s="56">
        <v>2123</v>
      </c>
      <c r="B305" s="61">
        <v>418</v>
      </c>
      <c r="C305" s="5">
        <v>41696</v>
      </c>
      <c r="D305" s="139" t="s">
        <v>699</v>
      </c>
      <c r="E305" s="8">
        <v>-35.016393555999997</v>
      </c>
      <c r="F305" s="8">
        <v>0.01</v>
      </c>
      <c r="G305" s="8">
        <v>-142.20437921600001</v>
      </c>
      <c r="H305" s="8">
        <v>2.1999999999999999E-2</v>
      </c>
      <c r="I305" s="8">
        <v>1.7314106733610224</v>
      </c>
      <c r="J305" s="8">
        <v>0.31863164140882377</v>
      </c>
      <c r="K305" s="8">
        <v>21.88859620360639</v>
      </c>
      <c r="L305" s="8">
        <v>0.62711052383198296</v>
      </c>
      <c r="M305" s="139" t="s">
        <v>703</v>
      </c>
      <c r="N305" s="61">
        <v>5</v>
      </c>
      <c r="O305" s="61">
        <v>37</v>
      </c>
      <c r="V305" s="160" t="s">
        <v>712</v>
      </c>
    </row>
    <row r="306" spans="1:22" ht="12.75" customHeight="1" x14ac:dyDescent="0.2">
      <c r="A306" s="56">
        <v>2125</v>
      </c>
      <c r="B306" s="61">
        <v>419</v>
      </c>
      <c r="C306" s="5">
        <v>41699</v>
      </c>
      <c r="D306" s="139" t="s">
        <v>700</v>
      </c>
      <c r="E306" s="8">
        <v>-34.713895690000001</v>
      </c>
      <c r="F306" s="8">
        <v>5.0000000000000001E-3</v>
      </c>
      <c r="G306" s="8">
        <v>-141.82520497899998</v>
      </c>
      <c r="H306" s="8">
        <v>0.04</v>
      </c>
      <c r="I306" s="8">
        <v>2.0823515020493844</v>
      </c>
      <c r="J306" s="8">
        <v>0.25444407271777486</v>
      </c>
      <c r="K306" s="8">
        <v>6.7560605522727357</v>
      </c>
      <c r="L306" s="8">
        <v>0.84756377262228877</v>
      </c>
      <c r="M306" s="139" t="s">
        <v>701</v>
      </c>
      <c r="N306" s="61">
        <v>11</v>
      </c>
      <c r="O306" s="61" t="s">
        <v>713</v>
      </c>
      <c r="V306" s="160" t="s">
        <v>702</v>
      </c>
    </row>
    <row r="307" spans="1:22" ht="12.75" customHeight="1" x14ac:dyDescent="0.2">
      <c r="A307" s="56">
        <v>2127</v>
      </c>
      <c r="B307" s="61">
        <v>420</v>
      </c>
      <c r="C307" s="5">
        <v>41699</v>
      </c>
      <c r="D307" s="139" t="s">
        <v>704</v>
      </c>
      <c r="E307" s="8">
        <v>-35.025063877000001</v>
      </c>
      <c r="F307" s="8">
        <v>3.0000000000000001E-3</v>
      </c>
      <c r="G307" s="8">
        <v>-142.289058326</v>
      </c>
      <c r="H307" s="8">
        <v>1.7999999999999999E-2</v>
      </c>
      <c r="I307" s="8">
        <v>2.1656612255018803</v>
      </c>
      <c r="J307" s="8">
        <v>0.14268357857578401</v>
      </c>
      <c r="K307" s="8">
        <v>7.1491255513462804</v>
      </c>
      <c r="L307" s="8">
        <v>0.5462819837003231</v>
      </c>
      <c r="M307" s="139" t="s">
        <v>705</v>
      </c>
      <c r="N307" s="61">
        <v>20</v>
      </c>
      <c r="O307" s="61">
        <v>33</v>
      </c>
      <c r="V307" s="160" t="s">
        <v>698</v>
      </c>
    </row>
    <row r="308" spans="1:22" ht="12.75" customHeight="1" x14ac:dyDescent="0.2">
      <c r="A308" s="56">
        <v>2129</v>
      </c>
      <c r="B308" s="61">
        <v>421</v>
      </c>
      <c r="C308" s="5">
        <v>41702</v>
      </c>
      <c r="D308" s="139" t="s">
        <v>711</v>
      </c>
      <c r="E308" s="8">
        <v>-36.090549991000003</v>
      </c>
      <c r="F308" s="8">
        <v>3.0000000000000001E-3</v>
      </c>
      <c r="G308" s="8">
        <v>-167.13673183700001</v>
      </c>
      <c r="H308" s="8">
        <v>0.02</v>
      </c>
      <c r="I308" s="8">
        <v>4.9594975736821922</v>
      </c>
      <c r="J308" s="8">
        <v>0.1351833919312124</v>
      </c>
      <c r="K308" s="8">
        <v>18.171591297452494</v>
      </c>
      <c r="L308" s="8">
        <v>0.57341956926655135</v>
      </c>
      <c r="M308" s="139" t="s">
        <v>710</v>
      </c>
      <c r="N308" s="61">
        <v>20</v>
      </c>
      <c r="O308" s="61">
        <v>33</v>
      </c>
    </row>
    <row r="309" spans="1:22" ht="12.75" customHeight="1" x14ac:dyDescent="0.2">
      <c r="A309" s="56">
        <v>2131</v>
      </c>
      <c r="B309" s="61">
        <v>422</v>
      </c>
      <c r="C309" s="5">
        <v>41702</v>
      </c>
      <c r="D309" s="139" t="s">
        <v>708</v>
      </c>
      <c r="E309" s="8">
        <v>-61.535052018999998</v>
      </c>
      <c r="F309" s="8">
        <v>4.0000000000000001E-3</v>
      </c>
      <c r="G309" s="8">
        <v>-200.549226885</v>
      </c>
      <c r="H309" s="8">
        <v>1.7999999999999999E-2</v>
      </c>
      <c r="I309" s="8">
        <v>2.862626045224026</v>
      </c>
      <c r="J309" s="8">
        <v>0.14061101203992935</v>
      </c>
      <c r="K309" s="8">
        <v>1.1661886209666239</v>
      </c>
      <c r="L309" s="8">
        <v>0.56054742373730138</v>
      </c>
      <c r="M309" s="139" t="s">
        <v>709</v>
      </c>
      <c r="N309" s="61">
        <v>15</v>
      </c>
      <c r="O309" s="61">
        <v>38</v>
      </c>
    </row>
    <row r="310" spans="1:22" ht="12.75" customHeight="1" x14ac:dyDescent="0.2">
      <c r="A310" s="56">
        <v>2133</v>
      </c>
      <c r="B310" s="61">
        <v>423</v>
      </c>
      <c r="C310" s="5">
        <v>41705</v>
      </c>
      <c r="D310" s="139" t="s">
        <v>718</v>
      </c>
      <c r="E310" s="8">
        <v>-36.552967110999994</v>
      </c>
      <c r="F310" s="8">
        <v>0.01</v>
      </c>
      <c r="G310" s="8">
        <v>-148.24199975900001</v>
      </c>
      <c r="H310" s="8">
        <v>2.5000000000000001E-2</v>
      </c>
      <c r="I310" s="8">
        <v>3.2869486056450459</v>
      </c>
      <c r="J310" s="8">
        <v>0.21192148392760063</v>
      </c>
      <c r="K310" s="8">
        <v>7.6676989067581136</v>
      </c>
      <c r="L310" s="8">
        <v>0.5947609815817031</v>
      </c>
      <c r="M310" s="139" t="s">
        <v>714</v>
      </c>
      <c r="N310" s="61">
        <v>16</v>
      </c>
      <c r="O310" s="61">
        <v>40</v>
      </c>
    </row>
    <row r="311" spans="1:22" ht="13.5" customHeight="1" x14ac:dyDescent="0.2">
      <c r="A311" s="66">
        <v>2135</v>
      </c>
      <c r="B311" s="78">
        <v>425</v>
      </c>
      <c r="C311" s="37">
        <v>41705</v>
      </c>
      <c r="D311" s="158" t="s">
        <v>720</v>
      </c>
      <c r="E311" s="51">
        <v>-25.768051156000002</v>
      </c>
      <c r="F311" s="51">
        <v>3.0000000000000001E-3</v>
      </c>
      <c r="G311" s="51">
        <v>-153.60406918000001</v>
      </c>
      <c r="H311" s="38">
        <v>2.3E-2</v>
      </c>
      <c r="I311" s="38">
        <v>2.890445235419481</v>
      </c>
      <c r="J311" s="38">
        <v>0.12686728703487221</v>
      </c>
      <c r="K311" s="38">
        <v>7.9818902660253599</v>
      </c>
      <c r="L311" s="38">
        <v>0.56995153540086874</v>
      </c>
      <c r="M311" s="139" t="s">
        <v>714</v>
      </c>
      <c r="N311" s="61">
        <v>20</v>
      </c>
      <c r="O311" s="61">
        <v>40</v>
      </c>
    </row>
    <row r="312" spans="1:22" x14ac:dyDescent="0.2">
      <c r="A312" s="56">
        <v>2137</v>
      </c>
      <c r="B312" s="61">
        <v>426</v>
      </c>
      <c r="C312" s="5">
        <v>41709</v>
      </c>
      <c r="D312" s="139" t="s">
        <v>719</v>
      </c>
      <c r="E312" s="8">
        <v>-34.022196747999999</v>
      </c>
      <c r="F312" s="8">
        <v>4.0000000000000001E-3</v>
      </c>
      <c r="G312" s="8">
        <v>-138.50578386699999</v>
      </c>
      <c r="H312" s="8">
        <v>2.1000000000000001E-2</v>
      </c>
      <c r="I312" s="8">
        <v>1.9002651036108542</v>
      </c>
      <c r="J312" s="8">
        <v>0.16180187034947008</v>
      </c>
      <c r="K312" s="8">
        <v>5.7880477650498197</v>
      </c>
      <c r="L312" s="8">
        <v>0.56875318159120625</v>
      </c>
      <c r="M312" s="139" t="s">
        <v>714</v>
      </c>
      <c r="N312" s="61">
        <v>16</v>
      </c>
      <c r="O312" s="61">
        <v>40</v>
      </c>
    </row>
    <row r="313" spans="1:22" x14ac:dyDescent="0.2">
      <c r="A313" s="56">
        <v>2142</v>
      </c>
      <c r="B313" s="61">
        <v>428</v>
      </c>
      <c r="C313" s="5">
        <v>41711</v>
      </c>
      <c r="D313" s="139" t="s">
        <v>890</v>
      </c>
      <c r="E313" s="8">
        <v>-98.363685520000004</v>
      </c>
      <c r="F313" s="8">
        <v>4.0000000000000001E-3</v>
      </c>
      <c r="G313" s="8">
        <v>-307.78308827299998</v>
      </c>
      <c r="H313" s="8">
        <v>3.3000000000000002E-2</v>
      </c>
      <c r="I313" s="8">
        <v>1.3315482219253827</v>
      </c>
      <c r="J313" s="8">
        <v>0.17440227017870222</v>
      </c>
      <c r="K313" s="8">
        <v>-42.919118550874494</v>
      </c>
      <c r="L313" s="8">
        <v>0.81912826062557687</v>
      </c>
      <c r="M313" s="139" t="s">
        <v>715</v>
      </c>
      <c r="N313" s="61">
        <v>17</v>
      </c>
      <c r="O313" s="61">
        <v>40</v>
      </c>
    </row>
    <row r="314" spans="1:22" x14ac:dyDescent="0.2">
      <c r="A314" s="56">
        <v>2142</v>
      </c>
      <c r="B314" s="61">
        <v>430</v>
      </c>
      <c r="C314" s="5">
        <v>41711</v>
      </c>
      <c r="D314" s="139" t="s">
        <v>716</v>
      </c>
      <c r="E314" s="8">
        <v>-21.851956170999998</v>
      </c>
      <c r="F314" s="8">
        <v>6.0000000000000001E-3</v>
      </c>
      <c r="G314" s="8">
        <v>-108.990409637</v>
      </c>
      <c r="H314" s="8">
        <v>3.9E-2</v>
      </c>
      <c r="I314" s="8">
        <v>3.2669377920990783</v>
      </c>
      <c r="J314" s="8">
        <v>0.23974468104694183</v>
      </c>
      <c r="K314" s="8">
        <v>10.677872801070576</v>
      </c>
      <c r="L314" s="8">
        <v>1.0316454975667033</v>
      </c>
      <c r="M314" s="139" t="s">
        <v>715</v>
      </c>
      <c r="N314" s="61">
        <v>15</v>
      </c>
      <c r="O314" s="61">
        <v>31</v>
      </c>
    </row>
    <row r="315" spans="1:22" x14ac:dyDescent="0.2">
      <c r="A315" s="56">
        <v>2144</v>
      </c>
      <c r="B315" s="61">
        <v>431</v>
      </c>
      <c r="C315" s="5">
        <v>41714</v>
      </c>
      <c r="D315" s="139" t="s">
        <v>722</v>
      </c>
      <c r="E315" s="8">
        <v>-20.335613365</v>
      </c>
      <c r="F315" s="8">
        <v>8.9999999999999993E-3</v>
      </c>
      <c r="G315" s="8">
        <v>-106.68525608700001</v>
      </c>
      <c r="H315" s="8">
        <v>4.2999999999999997E-2</v>
      </c>
      <c r="I315" s="8">
        <v>3.206837130937279</v>
      </c>
      <c r="J315" s="8">
        <v>0.18606712179075222</v>
      </c>
      <c r="K315" s="8">
        <v>11.042703907141016</v>
      </c>
      <c r="L315" s="8">
        <v>0.81164233917565964</v>
      </c>
      <c r="M315" s="139" t="s">
        <v>715</v>
      </c>
      <c r="N315" s="61">
        <v>20</v>
      </c>
      <c r="O315" s="61">
        <v>28</v>
      </c>
    </row>
    <row r="316" spans="1:22" x14ac:dyDescent="0.2">
      <c r="A316" s="56">
        <v>2149</v>
      </c>
      <c r="B316" s="61">
        <v>432</v>
      </c>
      <c r="C316" s="5">
        <v>41716</v>
      </c>
      <c r="D316" s="139" t="s">
        <v>723</v>
      </c>
      <c r="E316" s="8">
        <v>-31.450964887000001</v>
      </c>
      <c r="F316" s="8">
        <v>5.0000000000000001E-3</v>
      </c>
      <c r="G316" s="8">
        <v>-145.51909593300002</v>
      </c>
      <c r="H316" s="8">
        <v>2.5999999999999999E-2</v>
      </c>
      <c r="I316" s="8">
        <v>2.2944060173588632</v>
      </c>
      <c r="J316" s="8">
        <v>0.10699113810955184</v>
      </c>
      <c r="K316" s="8">
        <v>7.5092251213639827</v>
      </c>
      <c r="L316" s="8">
        <v>0.69197263317320967</v>
      </c>
      <c r="M316" s="139" t="s">
        <v>717</v>
      </c>
      <c r="N316" s="61">
        <v>20</v>
      </c>
      <c r="O316" s="61">
        <v>40</v>
      </c>
    </row>
    <row r="317" spans="1:22" x14ac:dyDescent="0.2">
      <c r="A317" s="56">
        <v>2151</v>
      </c>
      <c r="B317" s="61">
        <v>433</v>
      </c>
      <c r="C317" s="5">
        <v>41718</v>
      </c>
      <c r="D317" s="139" t="s">
        <v>724</v>
      </c>
      <c r="E317" s="8">
        <v>-36.049125124</v>
      </c>
      <c r="F317" s="8">
        <v>4.0000000000000001E-3</v>
      </c>
      <c r="G317" s="8">
        <v>-149.92240965300002</v>
      </c>
      <c r="H317" s="8">
        <v>2.3E-2</v>
      </c>
      <c r="I317" s="8">
        <v>3.0247220412449316</v>
      </c>
      <c r="J317" s="8">
        <v>0.10285369965760867</v>
      </c>
      <c r="K317" s="8">
        <v>7.7362102375366781</v>
      </c>
      <c r="L317" s="8">
        <v>0.51072661010376608</v>
      </c>
      <c r="M317" s="139" t="s">
        <v>721</v>
      </c>
      <c r="N317" s="61">
        <v>20</v>
      </c>
      <c r="O317" s="61">
        <v>40</v>
      </c>
    </row>
    <row r="318" spans="1:22" x14ac:dyDescent="0.2">
      <c r="A318" s="56">
        <v>2153</v>
      </c>
      <c r="B318" s="61">
        <v>434</v>
      </c>
      <c r="C318" s="5">
        <v>41718</v>
      </c>
      <c r="D318" s="139" t="s">
        <v>725</v>
      </c>
      <c r="E318" s="8">
        <v>-5.4448187320000008</v>
      </c>
      <c r="F318" s="8">
        <v>8.9999999999999993E-3</v>
      </c>
      <c r="G318" s="8">
        <v>-94.757733004000002</v>
      </c>
      <c r="H318" s="8">
        <v>4.7E-2</v>
      </c>
      <c r="I318" s="8">
        <v>2.2725110388999159</v>
      </c>
      <c r="J318" s="8">
        <v>0.15231731931035597</v>
      </c>
      <c r="K318" s="8">
        <v>11.043595701808684</v>
      </c>
      <c r="L318" s="8">
        <v>0.81910556570023563</v>
      </c>
      <c r="M318" s="139" t="s">
        <v>726</v>
      </c>
      <c r="N318" s="61">
        <v>19</v>
      </c>
      <c r="O318" s="61">
        <v>23</v>
      </c>
    </row>
    <row r="319" spans="1:22" x14ac:dyDescent="0.2">
      <c r="A319" s="56">
        <v>2155</v>
      </c>
      <c r="B319" s="61">
        <v>435</v>
      </c>
      <c r="C319" s="5">
        <v>41723</v>
      </c>
      <c r="D319" s="139" t="s">
        <v>728</v>
      </c>
      <c r="E319" s="8">
        <v>-38.462364469000001</v>
      </c>
      <c r="F319" s="8">
        <v>7.0000000000000001E-3</v>
      </c>
      <c r="G319" s="8">
        <v>-411.50370747499994</v>
      </c>
      <c r="H319" s="8">
        <v>3.5000000000000003E-2</v>
      </c>
      <c r="I319" s="8">
        <v>3.9236155735480338</v>
      </c>
      <c r="J319" s="8">
        <v>0.16086430331696328</v>
      </c>
      <c r="K319" s="8">
        <v>13.774156241761482</v>
      </c>
      <c r="L319" s="8">
        <v>0.8347712861472395</v>
      </c>
      <c r="M319" s="139" t="s">
        <v>727</v>
      </c>
      <c r="N319" s="61">
        <v>20</v>
      </c>
      <c r="O319" s="61">
        <v>36</v>
      </c>
      <c r="V319" s="160" t="s">
        <v>738</v>
      </c>
    </row>
    <row r="320" spans="1:22" x14ac:dyDescent="0.2">
      <c r="A320" s="56" t="s">
        <v>729</v>
      </c>
    </row>
    <row r="321" spans="1:24" x14ac:dyDescent="0.2">
      <c r="A321" s="65">
        <v>2157</v>
      </c>
      <c r="B321" s="77">
        <v>435</v>
      </c>
      <c r="C321" s="44">
        <v>41735</v>
      </c>
      <c r="D321" s="151" t="s">
        <v>730</v>
      </c>
      <c r="E321" s="45">
        <v>-36.656047594</v>
      </c>
      <c r="F321" s="45">
        <v>7.0000000000000001E-3</v>
      </c>
      <c r="G321" s="45">
        <v>-58.367355920999998</v>
      </c>
      <c r="H321" s="45">
        <v>1.4999999999999999E-2</v>
      </c>
      <c r="I321" s="45">
        <v>-0.85922239334756956</v>
      </c>
      <c r="J321" s="45">
        <v>0.10128016959659582</v>
      </c>
      <c r="K321" s="45">
        <v>-2.0493889885729866</v>
      </c>
      <c r="L321" s="45">
        <v>0.39830920590418484</v>
      </c>
      <c r="M321" s="139" t="s">
        <v>731</v>
      </c>
      <c r="N321" s="61">
        <v>20</v>
      </c>
      <c r="O321" s="61">
        <v>39</v>
      </c>
      <c r="V321" s="160" t="s">
        <v>732</v>
      </c>
    </row>
    <row r="322" spans="1:24" x14ac:dyDescent="0.2">
      <c r="A322" s="56">
        <v>2159</v>
      </c>
      <c r="B322" s="61">
        <v>437</v>
      </c>
      <c r="C322" s="5">
        <v>41739</v>
      </c>
      <c r="D322" s="139" t="s">
        <v>733</v>
      </c>
      <c r="E322" s="8">
        <v>-39.156953518000002</v>
      </c>
      <c r="F322" s="8">
        <v>4.0000000000000001E-3</v>
      </c>
      <c r="G322" s="8">
        <v>-396.95489549799998</v>
      </c>
      <c r="H322" s="8">
        <v>4.2000000000000003E-2</v>
      </c>
      <c r="I322" s="8">
        <v>3.8528388812573144</v>
      </c>
      <c r="J322" s="8">
        <v>0.15121286145745436</v>
      </c>
      <c r="K322" s="8">
        <v>15.510856542137796</v>
      </c>
      <c r="L322" s="8">
        <v>0.91346114810208212</v>
      </c>
      <c r="M322" s="139" t="s">
        <v>727</v>
      </c>
      <c r="N322" s="61">
        <v>19</v>
      </c>
      <c r="O322" s="61">
        <v>36</v>
      </c>
      <c r="V322" s="160" t="s">
        <v>737</v>
      </c>
    </row>
    <row r="323" spans="1:24" x14ac:dyDescent="0.2">
      <c r="A323" s="56">
        <v>2162</v>
      </c>
      <c r="B323" s="61">
        <v>439</v>
      </c>
      <c r="C323" s="5">
        <v>41741</v>
      </c>
      <c r="D323" s="139" t="s">
        <v>739</v>
      </c>
      <c r="E323" s="8">
        <v>-38.437316875</v>
      </c>
      <c r="F323" s="8">
        <v>5.0000000000000001E-3</v>
      </c>
      <c r="G323" s="8">
        <v>-410.80745701500001</v>
      </c>
      <c r="H323" s="8">
        <v>4.2000000000000003E-2</v>
      </c>
      <c r="I323" s="8">
        <v>4.5654332396320996</v>
      </c>
      <c r="J323" s="8">
        <v>0.17514543673847524</v>
      </c>
      <c r="K323" s="8">
        <v>14.867734578555059</v>
      </c>
      <c r="L323" s="8">
        <v>0.9570391882809004</v>
      </c>
      <c r="M323" s="139" t="s">
        <v>735</v>
      </c>
      <c r="N323" s="61">
        <v>20</v>
      </c>
      <c r="O323" s="61">
        <v>36</v>
      </c>
      <c r="V323" s="160" t="s">
        <v>736</v>
      </c>
    </row>
    <row r="324" spans="1:24" x14ac:dyDescent="0.2">
      <c r="A324" s="56">
        <v>2186</v>
      </c>
      <c r="B324" s="61">
        <v>456</v>
      </c>
      <c r="C324" s="5">
        <v>41761</v>
      </c>
      <c r="D324" s="139" t="s">
        <v>734</v>
      </c>
      <c r="E324" s="8">
        <v>-38.286067942000003</v>
      </c>
      <c r="F324" s="8">
        <v>8.0000000000000002E-3</v>
      </c>
      <c r="G324" s="8">
        <v>-410.751945154</v>
      </c>
      <c r="H324" s="8">
        <v>1.7999999999999999E-2</v>
      </c>
      <c r="I324" s="8">
        <v>5.5892162122863631</v>
      </c>
      <c r="J324" s="8">
        <v>0.24020558171908277</v>
      </c>
      <c r="K324" s="8">
        <v>17.878676402649283</v>
      </c>
      <c r="L324" s="8">
        <v>0.71377882382373603</v>
      </c>
      <c r="M324" s="139" t="s">
        <v>744</v>
      </c>
      <c r="N324" s="61">
        <v>8</v>
      </c>
      <c r="O324" s="61">
        <v>40</v>
      </c>
    </row>
    <row r="325" spans="1:24" x14ac:dyDescent="0.2">
      <c r="A325" s="56">
        <v>2188</v>
      </c>
      <c r="B325" s="61">
        <v>457</v>
      </c>
      <c r="C325" s="5">
        <v>41762</v>
      </c>
      <c r="D325" s="139" t="s">
        <v>745</v>
      </c>
      <c r="E325" s="8">
        <v>-38.154086389000007</v>
      </c>
      <c r="F325" s="8">
        <v>3.0000000000000001E-3</v>
      </c>
      <c r="G325" s="8">
        <v>-110.23519255400001</v>
      </c>
      <c r="H325" s="8">
        <v>1.4E-2</v>
      </c>
      <c r="I325" s="8">
        <v>1.4512619788304981</v>
      </c>
      <c r="J325" s="8">
        <v>0.11328143038739985</v>
      </c>
      <c r="K325" s="8">
        <v>5.8523014172782162</v>
      </c>
      <c r="L325" s="8">
        <v>0.52001899328097456</v>
      </c>
      <c r="M325" s="139" t="s">
        <v>746</v>
      </c>
      <c r="N325" s="61">
        <v>20</v>
      </c>
      <c r="O325" s="61">
        <v>40</v>
      </c>
      <c r="V325" s="160" t="s">
        <v>747</v>
      </c>
    </row>
    <row r="326" spans="1:24" x14ac:dyDescent="0.2">
      <c r="A326" s="56">
        <v>2190</v>
      </c>
      <c r="B326" s="61">
        <v>458</v>
      </c>
      <c r="C326" s="5">
        <v>41764</v>
      </c>
      <c r="D326" s="139" t="s">
        <v>748</v>
      </c>
      <c r="E326" s="8">
        <v>-40.347999999999999</v>
      </c>
      <c r="F326" s="8">
        <v>5.0000000000000001E-3</v>
      </c>
      <c r="G326" s="8">
        <v>-115.39700000000001</v>
      </c>
      <c r="H326" s="8">
        <v>1.7000000000000001E-2</v>
      </c>
      <c r="I326" s="8">
        <v>1.698</v>
      </c>
      <c r="J326" s="8">
        <v>0.16</v>
      </c>
      <c r="K326" s="8">
        <v>7.3940000000000001</v>
      </c>
      <c r="L326" s="8">
        <v>0.499</v>
      </c>
      <c r="M326" s="139" t="s">
        <v>749</v>
      </c>
      <c r="N326" s="61">
        <v>20</v>
      </c>
      <c r="O326" s="61">
        <v>40</v>
      </c>
    </row>
    <row r="327" spans="1:24" x14ac:dyDescent="0.2">
      <c r="A327" s="56">
        <v>2192</v>
      </c>
      <c r="B327" s="61">
        <v>460</v>
      </c>
      <c r="C327" s="5">
        <v>41765</v>
      </c>
      <c r="D327" s="139" t="s">
        <v>751</v>
      </c>
      <c r="E327" s="8">
        <v>-39.449817694000004</v>
      </c>
      <c r="F327" s="8">
        <v>3.0000000000000001E-3</v>
      </c>
      <c r="G327" s="8">
        <v>-116.629406238</v>
      </c>
      <c r="H327" s="8">
        <v>1.4999999999999999E-2</v>
      </c>
      <c r="I327" s="8">
        <v>5.5583054747598837</v>
      </c>
      <c r="J327" s="8">
        <v>0.11334877683081597</v>
      </c>
      <c r="K327" s="8">
        <v>8.4663449496176213</v>
      </c>
      <c r="L327" s="8">
        <v>0.51061202974129516</v>
      </c>
      <c r="M327" s="139" t="s">
        <v>750</v>
      </c>
      <c r="N327" s="61">
        <v>20</v>
      </c>
      <c r="O327" s="61">
        <v>40</v>
      </c>
    </row>
    <row r="328" spans="1:24" x14ac:dyDescent="0.2">
      <c r="A328" s="56">
        <v>2194</v>
      </c>
      <c r="B328" s="61">
        <v>459</v>
      </c>
      <c r="C328" s="5">
        <v>41765</v>
      </c>
      <c r="D328" s="139" t="s">
        <v>753</v>
      </c>
      <c r="E328" s="8">
        <v>-98.096832307</v>
      </c>
      <c r="F328" s="8">
        <v>7.0000000000000001E-3</v>
      </c>
      <c r="G328" s="8">
        <v>-308.64211079999995</v>
      </c>
      <c r="H328" s="8">
        <v>4.8000000000000001E-2</v>
      </c>
      <c r="I328" s="8">
        <v>0.38350340074821965</v>
      </c>
      <c r="J328" s="8">
        <v>0.20284385461639312</v>
      </c>
      <c r="K328" s="8">
        <v>-50.197198903947026</v>
      </c>
      <c r="L328" s="8">
        <v>1.3900488265727287</v>
      </c>
      <c r="M328" s="139" t="s">
        <v>752</v>
      </c>
      <c r="N328" s="61">
        <v>12</v>
      </c>
      <c r="O328" s="61">
        <v>13</v>
      </c>
    </row>
    <row r="329" spans="1:24" x14ac:dyDescent="0.2">
      <c r="A329" s="56">
        <v>2196</v>
      </c>
      <c r="B329" s="61">
        <v>461</v>
      </c>
      <c r="C329" s="5">
        <v>41772</v>
      </c>
      <c r="D329" s="139" t="s">
        <v>970</v>
      </c>
      <c r="E329" s="8">
        <v>-58.338593676999999</v>
      </c>
      <c r="F329" s="8">
        <v>1.0999999999999999E-2</v>
      </c>
      <c r="G329" s="8">
        <v>-592.36511412899995</v>
      </c>
      <c r="H329" s="8">
        <v>4.2999999999999997E-2</v>
      </c>
      <c r="I329" s="8">
        <v>1.6860369218358873</v>
      </c>
      <c r="J329" s="8">
        <v>0.34992085896818731</v>
      </c>
      <c r="K329" s="8">
        <v>-9.9138756125261018</v>
      </c>
      <c r="L329" s="8">
        <v>2.0006234157649954</v>
      </c>
      <c r="M329" s="139" t="s">
        <v>754</v>
      </c>
      <c r="N329" s="61">
        <v>5</v>
      </c>
      <c r="O329" s="61">
        <v>14</v>
      </c>
      <c r="V329" s="160" t="s">
        <v>755</v>
      </c>
    </row>
    <row r="330" spans="1:24" x14ac:dyDescent="0.2">
      <c r="A330" s="56">
        <v>2198</v>
      </c>
      <c r="B330" s="61">
        <v>462</v>
      </c>
      <c r="C330" s="5">
        <v>41772</v>
      </c>
      <c r="D330" s="139" t="s">
        <v>771</v>
      </c>
      <c r="E330" s="8">
        <v>-37.382427820000004</v>
      </c>
      <c r="F330" s="8">
        <v>3.0000000000000001E-3</v>
      </c>
      <c r="G330" s="8">
        <v>-145.09852302000002</v>
      </c>
      <c r="H330" s="8">
        <v>1.7000000000000001E-2</v>
      </c>
      <c r="I330" s="8">
        <v>2.8790211558176182</v>
      </c>
      <c r="J330" s="8">
        <v>0.12917122012686486</v>
      </c>
      <c r="K330" s="8">
        <v>6.1563098996579857</v>
      </c>
      <c r="L330" s="8">
        <v>0.50101854470048757</v>
      </c>
      <c r="M330" s="139" t="s">
        <v>756</v>
      </c>
      <c r="N330" s="61">
        <v>20</v>
      </c>
      <c r="O330" s="61">
        <v>40</v>
      </c>
      <c r="V330" s="160" t="s">
        <v>757</v>
      </c>
    </row>
    <row r="331" spans="1:24" x14ac:dyDescent="0.2">
      <c r="A331" s="56">
        <v>2201</v>
      </c>
      <c r="B331" s="61">
        <v>463</v>
      </c>
      <c r="C331" s="5">
        <v>41774</v>
      </c>
      <c r="D331" s="139" t="s">
        <v>758</v>
      </c>
      <c r="E331" s="8">
        <v>-37.421925948999998</v>
      </c>
      <c r="F331" s="8">
        <v>4.0000000000000001E-3</v>
      </c>
      <c r="G331" s="8">
        <v>-145.238713991</v>
      </c>
      <c r="H331" s="8">
        <v>0.02</v>
      </c>
      <c r="I331" s="8">
        <v>2.79492874642151</v>
      </c>
      <c r="J331" s="8">
        <v>0.12432525368662725</v>
      </c>
      <c r="K331" s="8">
        <v>6.3181018702413994</v>
      </c>
      <c r="L331" s="8">
        <v>0.63007987227891094</v>
      </c>
      <c r="M331" s="139" t="s">
        <v>756</v>
      </c>
      <c r="N331" s="61">
        <v>20</v>
      </c>
      <c r="O331" s="61">
        <v>28</v>
      </c>
      <c r="V331" s="160" t="s">
        <v>757</v>
      </c>
    </row>
    <row r="332" spans="1:24" s="49" customFormat="1" x14ac:dyDescent="0.2">
      <c r="A332" s="67"/>
      <c r="B332" s="67"/>
      <c r="C332" s="35"/>
      <c r="D332" s="161" t="s">
        <v>770</v>
      </c>
      <c r="E332" s="82"/>
      <c r="F332" s="82"/>
      <c r="G332" s="82"/>
      <c r="H332" s="82"/>
      <c r="I332" s="82"/>
      <c r="J332" s="82"/>
      <c r="K332" s="82"/>
      <c r="L332" s="82"/>
      <c r="M332" s="161"/>
      <c r="N332" s="67"/>
      <c r="O332" s="67"/>
      <c r="P332" s="82"/>
      <c r="Q332" s="82"/>
      <c r="R332" s="82"/>
      <c r="S332" s="82"/>
      <c r="T332" s="82"/>
      <c r="U332" s="82"/>
      <c r="V332" s="161"/>
      <c r="W332" s="126"/>
      <c r="X332" s="126"/>
    </row>
    <row r="333" spans="1:24" ht="13.5" customHeight="1" x14ac:dyDescent="0.2">
      <c r="A333" s="66">
        <v>2260</v>
      </c>
      <c r="B333" s="78">
        <v>506</v>
      </c>
      <c r="C333" s="37">
        <v>41796</v>
      </c>
      <c r="D333" s="158" t="s">
        <v>766</v>
      </c>
      <c r="E333" s="51">
        <v>-26.866291816</v>
      </c>
      <c r="F333" s="51">
        <v>1.0999999999999999E-2</v>
      </c>
      <c r="G333" s="51">
        <v>-156.90655447</v>
      </c>
      <c r="H333" s="38">
        <v>2.1999999999999999E-2</v>
      </c>
      <c r="I333" s="38">
        <v>3.6751909448793363</v>
      </c>
      <c r="J333" s="38">
        <v>0.31491486858800727</v>
      </c>
      <c r="K333" s="38">
        <v>9.3748167731135812</v>
      </c>
      <c r="L333" s="38">
        <v>0.64352434860695695</v>
      </c>
      <c r="M333" s="139" t="s">
        <v>759</v>
      </c>
      <c r="N333" s="61">
        <v>3</v>
      </c>
      <c r="O333" s="61">
        <v>31</v>
      </c>
    </row>
    <row r="334" spans="1:24" ht="13.5" customHeight="1" x14ac:dyDescent="0.2">
      <c r="A334" s="66">
        <v>2262</v>
      </c>
      <c r="B334" s="78" t="s">
        <v>761</v>
      </c>
      <c r="C334" s="37">
        <v>41796</v>
      </c>
      <c r="D334" s="158" t="s">
        <v>767</v>
      </c>
      <c r="E334" s="51">
        <v>-25.499271204999999</v>
      </c>
      <c r="F334" s="51">
        <v>5.0000000000000001E-3</v>
      </c>
      <c r="G334" s="51">
        <v>-151.890728521</v>
      </c>
      <c r="H334" s="38">
        <v>2.5999999999999999E-2</v>
      </c>
      <c r="I334" s="38">
        <v>1.5041194282163772</v>
      </c>
      <c r="J334" s="38">
        <v>0.1714175636017366</v>
      </c>
      <c r="K334" s="38">
        <v>7.0269768632691409</v>
      </c>
      <c r="L334" s="38">
        <v>0.64547687921699848</v>
      </c>
      <c r="M334" s="139" t="s">
        <v>760</v>
      </c>
      <c r="N334" s="61">
        <v>12</v>
      </c>
      <c r="O334" s="61">
        <v>32</v>
      </c>
    </row>
    <row r="335" spans="1:24" ht="13.5" customHeight="1" x14ac:dyDescent="0.2">
      <c r="A335" s="66"/>
      <c r="B335" s="78">
        <v>506</v>
      </c>
      <c r="C335" s="37">
        <v>41796</v>
      </c>
      <c r="D335" s="158" t="s">
        <v>768</v>
      </c>
      <c r="E335" s="51">
        <v>-25.908510356200001</v>
      </c>
      <c r="F335" s="51"/>
      <c r="G335" s="51">
        <v>-153.39575856940002</v>
      </c>
      <c r="H335" s="38"/>
      <c r="I335" s="38">
        <v>2.153293300630299</v>
      </c>
      <c r="J335" s="38"/>
      <c r="K335" s="38">
        <v>7.7269297485293986</v>
      </c>
      <c r="L335" s="38"/>
      <c r="M335" s="139" t="s">
        <v>756</v>
      </c>
      <c r="N335" s="61">
        <v>28</v>
      </c>
      <c r="O335" s="61"/>
    </row>
    <row r="336" spans="1:24" x14ac:dyDescent="0.2">
      <c r="A336" s="56">
        <v>2264</v>
      </c>
      <c r="B336" s="61">
        <v>507</v>
      </c>
      <c r="C336" s="5">
        <v>41798</v>
      </c>
      <c r="D336" s="139" t="s">
        <v>762</v>
      </c>
      <c r="E336" s="8">
        <v>-60.132386754999999</v>
      </c>
      <c r="F336" s="8">
        <v>5.0000000000000001E-3</v>
      </c>
      <c r="G336" s="8">
        <v>-206.36856349999999</v>
      </c>
      <c r="H336" s="8">
        <v>2.1000000000000001E-2</v>
      </c>
      <c r="I336" s="8">
        <v>6.6998133827322892</v>
      </c>
      <c r="J336" s="8">
        <v>0.12299405392663715</v>
      </c>
      <c r="K336" s="8">
        <v>4.035731418045696</v>
      </c>
      <c r="L336" s="8">
        <v>0.61378118405154536</v>
      </c>
      <c r="M336" s="139" t="s">
        <v>763</v>
      </c>
      <c r="N336" s="61">
        <v>20</v>
      </c>
      <c r="O336" s="61">
        <v>38</v>
      </c>
    </row>
    <row r="337" spans="1:24" x14ac:dyDescent="0.2">
      <c r="A337" s="56">
        <v>2266</v>
      </c>
      <c r="B337" s="61">
        <v>508</v>
      </c>
      <c r="C337" s="5">
        <v>41800</v>
      </c>
      <c r="D337" s="139" t="s">
        <v>764</v>
      </c>
      <c r="E337" s="8">
        <v>-40.471952203000001</v>
      </c>
      <c r="F337" s="8">
        <v>5.0000000000000001E-3</v>
      </c>
      <c r="G337" s="8">
        <v>-116.03288895200001</v>
      </c>
      <c r="H337" s="8">
        <v>1.9E-2</v>
      </c>
      <c r="I337" s="8">
        <v>1.9096458161869112</v>
      </c>
      <c r="J337" s="8">
        <v>0.14576939176216669</v>
      </c>
      <c r="K337" s="8">
        <v>7.8890561428006656</v>
      </c>
      <c r="L337" s="8">
        <v>0.52091227950311825</v>
      </c>
      <c r="M337" s="139" t="s">
        <v>765</v>
      </c>
      <c r="N337" s="61">
        <v>18</v>
      </c>
      <c r="O337" s="61">
        <v>38</v>
      </c>
    </row>
    <row r="338" spans="1:24" x14ac:dyDescent="0.2">
      <c r="A338" s="56">
        <v>2268</v>
      </c>
      <c r="B338" s="61">
        <v>509</v>
      </c>
      <c r="C338" s="5">
        <v>41802</v>
      </c>
      <c r="D338" s="139" t="s">
        <v>769</v>
      </c>
      <c r="E338" s="8">
        <v>-52.249138228000007</v>
      </c>
      <c r="F338" s="8">
        <v>4.0000000000000001E-3</v>
      </c>
      <c r="G338" s="8">
        <v>-194.893603216</v>
      </c>
      <c r="H338" s="8">
        <v>0.02</v>
      </c>
      <c r="I338" s="8">
        <v>5.6374930339828655</v>
      </c>
      <c r="J338" s="8">
        <v>0.20452652157125584</v>
      </c>
      <c r="K338" s="8">
        <v>2.9624759208852769</v>
      </c>
      <c r="L338" s="8">
        <v>0.61998835068266467</v>
      </c>
      <c r="M338" s="139" t="s">
        <v>765</v>
      </c>
      <c r="N338" s="61">
        <v>14</v>
      </c>
      <c r="O338" s="61">
        <v>37</v>
      </c>
    </row>
    <row r="339" spans="1:24" x14ac:dyDescent="0.2">
      <c r="A339" s="56">
        <v>2270</v>
      </c>
      <c r="B339" s="61">
        <v>510</v>
      </c>
      <c r="C339" s="5">
        <v>41803</v>
      </c>
      <c r="D339" s="139" t="s">
        <v>971</v>
      </c>
      <c r="E339" s="8">
        <v>-61.688227690000005</v>
      </c>
      <c r="F339" s="8">
        <v>4.0000000000000001E-3</v>
      </c>
      <c r="G339" s="8">
        <v>-596.84181641099997</v>
      </c>
      <c r="H339" s="8">
        <v>5.7000000000000002E-2</v>
      </c>
      <c r="I339" s="8">
        <v>2.0598515197272071</v>
      </c>
      <c r="J339" s="8">
        <v>0.29538912137372297</v>
      </c>
      <c r="K339" s="8">
        <v>-2.9704158770750277</v>
      </c>
      <c r="L339" s="8">
        <v>2.4127907698266737</v>
      </c>
      <c r="M339" s="139" t="s">
        <v>754</v>
      </c>
      <c r="N339" s="61">
        <v>14</v>
      </c>
      <c r="O339" s="61">
        <v>14</v>
      </c>
    </row>
    <row r="340" spans="1:24" x14ac:dyDescent="0.2">
      <c r="A340" s="56">
        <v>2272</v>
      </c>
      <c r="B340" s="61">
        <v>511</v>
      </c>
      <c r="C340" s="5">
        <v>41804</v>
      </c>
      <c r="D340" s="139" t="s">
        <v>775</v>
      </c>
      <c r="E340" s="8">
        <v>-37.041395194000003</v>
      </c>
      <c r="F340" s="8">
        <v>4.0000000000000001E-3</v>
      </c>
      <c r="G340" s="8">
        <v>-146.217228151</v>
      </c>
      <c r="H340" s="8">
        <v>0.02</v>
      </c>
      <c r="I340" s="8">
        <v>5.3952555223670817</v>
      </c>
      <c r="J340" s="8">
        <v>0.13637514663688297</v>
      </c>
      <c r="K340" s="8">
        <v>5.7223986239829383</v>
      </c>
      <c r="L340" s="8">
        <v>0.56927157342544066</v>
      </c>
      <c r="M340" s="139" t="s">
        <v>772</v>
      </c>
      <c r="N340" s="61">
        <v>20</v>
      </c>
      <c r="O340" s="61">
        <v>40</v>
      </c>
    </row>
    <row r="341" spans="1:24" x14ac:dyDescent="0.2">
      <c r="A341" s="56">
        <v>2274</v>
      </c>
      <c r="B341" s="61">
        <v>512</v>
      </c>
      <c r="C341" s="5">
        <v>41806</v>
      </c>
      <c r="D341" s="139" t="s">
        <v>773</v>
      </c>
      <c r="E341" s="8">
        <v>-35.007723235</v>
      </c>
      <c r="F341" s="8">
        <v>4.0000000000000001E-3</v>
      </c>
      <c r="G341" s="8">
        <v>-142.52992335000002</v>
      </c>
      <c r="H341" s="8">
        <v>0.02</v>
      </c>
      <c r="I341" s="8">
        <v>6.0079161520194546</v>
      </c>
      <c r="J341" s="8">
        <v>0.15716081915558416</v>
      </c>
      <c r="K341" s="8">
        <v>7.7090103572166058</v>
      </c>
      <c r="L341" s="8">
        <v>0.61810877170214962</v>
      </c>
      <c r="M341" s="139" t="s">
        <v>772</v>
      </c>
      <c r="N341" s="61">
        <v>14</v>
      </c>
      <c r="O341" s="61">
        <v>40</v>
      </c>
      <c r="V341" s="160" t="s">
        <v>757</v>
      </c>
    </row>
    <row r="342" spans="1:24" x14ac:dyDescent="0.2">
      <c r="A342" s="56">
        <v>2277</v>
      </c>
      <c r="B342" s="61">
        <v>513</v>
      </c>
      <c r="C342" s="5">
        <v>41807</v>
      </c>
      <c r="D342" s="139" t="s">
        <v>774</v>
      </c>
      <c r="E342" s="8">
        <v>-15.980222116</v>
      </c>
      <c r="F342" s="8">
        <v>4.0000000000000001E-3</v>
      </c>
      <c r="G342" s="8">
        <v>-78.345039728000003</v>
      </c>
      <c r="H342" s="8">
        <v>3.1E-2</v>
      </c>
      <c r="I342" s="8">
        <v>3.6160206331967704</v>
      </c>
      <c r="J342" s="8">
        <v>0.17190943407539447</v>
      </c>
      <c r="K342" s="8">
        <v>14.531130706110895</v>
      </c>
      <c r="L342" s="8">
        <v>0.73318422990731402</v>
      </c>
      <c r="M342" s="139" t="s">
        <v>772</v>
      </c>
      <c r="N342" s="61">
        <v>16</v>
      </c>
      <c r="O342" s="61">
        <v>27</v>
      </c>
    </row>
    <row r="343" spans="1:24" x14ac:dyDescent="0.2">
      <c r="A343" s="56">
        <v>2278</v>
      </c>
      <c r="B343" s="61">
        <v>514</v>
      </c>
      <c r="C343" s="5">
        <v>41807</v>
      </c>
      <c r="D343" s="139" t="s">
        <v>780</v>
      </c>
      <c r="E343" s="8">
        <v>-36.907486902999999</v>
      </c>
      <c r="F343" s="8">
        <v>4.0000000000000001E-3</v>
      </c>
      <c r="G343" s="8">
        <v>-122.33866001000001</v>
      </c>
      <c r="H343" s="8">
        <v>1.4999999999999999E-2</v>
      </c>
      <c r="I343" s="8">
        <v>-0.7110999510453464</v>
      </c>
      <c r="J343" s="8">
        <v>0.15210348589937978</v>
      </c>
      <c r="K343" s="8">
        <v>13.827887844295894</v>
      </c>
      <c r="L343" s="8">
        <v>0.48513920978870934</v>
      </c>
      <c r="M343" s="139" t="s">
        <v>772</v>
      </c>
      <c r="N343" s="61">
        <v>11</v>
      </c>
      <c r="O343" s="61">
        <v>33</v>
      </c>
    </row>
    <row r="344" spans="1:24" x14ac:dyDescent="0.2">
      <c r="A344" s="56">
        <v>2280</v>
      </c>
      <c r="B344" s="61">
        <v>515</v>
      </c>
      <c r="C344" s="5">
        <v>41807</v>
      </c>
      <c r="D344" s="139" t="s">
        <v>777</v>
      </c>
      <c r="E344" s="8">
        <v>-35.470140355000005</v>
      </c>
      <c r="F344" s="8">
        <v>6.0000000000000001E-3</v>
      </c>
      <c r="G344" s="8">
        <v>-122.07239125299999</v>
      </c>
      <c r="H344" s="8">
        <v>2.1000000000000001E-2</v>
      </c>
      <c r="I344" s="8">
        <v>3.2688011008268347</v>
      </c>
      <c r="J344" s="8">
        <v>0.17497420164882427</v>
      </c>
      <c r="K344" s="8">
        <v>13.800572667502564</v>
      </c>
      <c r="L344" s="8">
        <v>0.67902809452435597</v>
      </c>
      <c r="M344" s="139" t="s">
        <v>776</v>
      </c>
      <c r="N344" s="61">
        <v>6</v>
      </c>
      <c r="O344" s="61">
        <v>31</v>
      </c>
    </row>
    <row r="345" spans="1:24" x14ac:dyDescent="0.2">
      <c r="A345" s="56">
        <v>2285</v>
      </c>
      <c r="B345" s="61">
        <v>517</v>
      </c>
      <c r="C345" s="5">
        <v>41811</v>
      </c>
      <c r="D345" s="139" t="s">
        <v>778</v>
      </c>
      <c r="E345" s="8">
        <v>-35.361279658000001</v>
      </c>
      <c r="F345" s="8">
        <v>6.0000000000000001E-3</v>
      </c>
      <c r="G345" s="8">
        <v>-122.083681801</v>
      </c>
      <c r="H345" s="8">
        <v>3.2000000000000001E-2</v>
      </c>
      <c r="I345" s="8">
        <v>3.9027125351747127</v>
      </c>
      <c r="J345" s="8">
        <v>0.2666660460169466</v>
      </c>
      <c r="K345" s="8">
        <v>13.501873803605013</v>
      </c>
      <c r="L345" s="8">
        <v>1.0019801519000013</v>
      </c>
      <c r="M345" s="139" t="s">
        <v>779</v>
      </c>
      <c r="N345" s="61">
        <v>6</v>
      </c>
      <c r="O345" s="61">
        <v>10</v>
      </c>
    </row>
    <row r="346" spans="1:24" x14ac:dyDescent="0.2">
      <c r="A346" s="56">
        <v>2287</v>
      </c>
      <c r="B346" s="61">
        <v>516</v>
      </c>
      <c r="C346" s="5">
        <v>41811</v>
      </c>
      <c r="D346" s="139" t="s">
        <v>781</v>
      </c>
      <c r="E346" s="8">
        <v>-50.506403706999997</v>
      </c>
      <c r="F346" s="8">
        <v>8.9999999999999993E-3</v>
      </c>
      <c r="G346" s="8">
        <v>-160.75569045899999</v>
      </c>
      <c r="H346" s="8">
        <v>0.02</v>
      </c>
      <c r="I346" s="8">
        <v>5.7014995287765213</v>
      </c>
      <c r="J346" s="8">
        <v>0.13082157024467006</v>
      </c>
      <c r="K346" s="8">
        <v>15.83308703663433</v>
      </c>
      <c r="L346" s="8">
        <v>0.5857787973357097</v>
      </c>
      <c r="M346" s="139" t="s">
        <v>782</v>
      </c>
      <c r="N346" s="61">
        <v>12</v>
      </c>
      <c r="O346" s="61">
        <v>30</v>
      </c>
    </row>
    <row r="347" spans="1:24" x14ac:dyDescent="0.2">
      <c r="A347" s="56">
        <v>2290</v>
      </c>
      <c r="B347" s="61">
        <v>518</v>
      </c>
      <c r="C347" s="5">
        <v>41811</v>
      </c>
      <c r="D347" s="139" t="s">
        <v>783</v>
      </c>
      <c r="E347" s="8">
        <v>-44.307124192000003</v>
      </c>
      <c r="F347" s="8">
        <v>7.0000000000000001E-3</v>
      </c>
      <c r="G347" s="8">
        <v>-196.05747053900001</v>
      </c>
      <c r="H347" s="8">
        <v>2.7E-2</v>
      </c>
      <c r="I347" s="8">
        <v>2.4143870328181549</v>
      </c>
      <c r="J347" s="8">
        <v>0.14179280551755427</v>
      </c>
      <c r="K347" s="8">
        <v>6.2572159038087882</v>
      </c>
      <c r="L347" s="8">
        <v>0.61311418617699032</v>
      </c>
      <c r="M347" s="139" t="s">
        <v>784</v>
      </c>
      <c r="N347" s="61">
        <v>10</v>
      </c>
      <c r="O347" s="61">
        <v>35</v>
      </c>
    </row>
    <row r="348" spans="1:24" x14ac:dyDescent="0.2">
      <c r="A348" s="56">
        <v>2321</v>
      </c>
      <c r="B348" s="61">
        <v>541</v>
      </c>
      <c r="C348" s="5">
        <v>41819</v>
      </c>
      <c r="D348" s="139" t="s">
        <v>813</v>
      </c>
      <c r="E348" s="8">
        <v>-37.373757499</v>
      </c>
      <c r="F348" s="8">
        <v>4.0000000000000001E-3</v>
      </c>
      <c r="G348" s="8">
        <v>-145.00537599900002</v>
      </c>
      <c r="H348" s="8">
        <v>1.6E-2</v>
      </c>
      <c r="I348" s="8">
        <v>2.9545595412798775</v>
      </c>
      <c r="J348" s="8">
        <v>0.12466778921946188</v>
      </c>
      <c r="K348" s="8">
        <v>5.9298314676046182</v>
      </c>
      <c r="L348" s="8">
        <v>0.5248795908552637</v>
      </c>
      <c r="M348" s="139" t="s">
        <v>756</v>
      </c>
      <c r="N348" s="61">
        <v>20</v>
      </c>
      <c r="O348" s="61">
        <v>40</v>
      </c>
    </row>
    <row r="349" spans="1:24" s="49" customFormat="1" x14ac:dyDescent="0.2">
      <c r="A349" s="67"/>
      <c r="B349" s="67"/>
      <c r="C349" s="35"/>
      <c r="D349" s="161" t="s">
        <v>770</v>
      </c>
      <c r="E349" s="82"/>
      <c r="F349" s="82"/>
      <c r="G349" s="82"/>
      <c r="H349" s="82"/>
      <c r="I349" s="82"/>
      <c r="J349" s="82"/>
      <c r="K349" s="82"/>
      <c r="L349" s="82"/>
      <c r="M349" s="161"/>
      <c r="N349" s="67"/>
      <c r="O349" s="67"/>
      <c r="P349" s="82"/>
      <c r="Q349" s="82"/>
      <c r="R349" s="82"/>
      <c r="S349" s="82"/>
      <c r="T349" s="82"/>
      <c r="U349" s="82"/>
      <c r="V349" s="161"/>
      <c r="W349" s="126"/>
      <c r="X349" s="126"/>
    </row>
    <row r="350" spans="1:24" ht="13.5" customHeight="1" x14ac:dyDescent="0.2">
      <c r="A350" s="66">
        <v>2323</v>
      </c>
      <c r="B350" s="78">
        <v>542</v>
      </c>
      <c r="C350" s="37">
        <v>41820</v>
      </c>
      <c r="D350" s="158" t="s">
        <v>785</v>
      </c>
      <c r="E350" s="51">
        <v>-25.848010783000003</v>
      </c>
      <c r="F350" s="51">
        <v>3.0000000000000001E-3</v>
      </c>
      <c r="G350" s="51">
        <v>-154.03969615699998</v>
      </c>
      <c r="H350" s="38">
        <v>1.4999999999999999E-2</v>
      </c>
      <c r="I350" s="38">
        <v>2.9997930931142669</v>
      </c>
      <c r="J350" s="38">
        <v>0.13089510342747884</v>
      </c>
      <c r="K350" s="38">
        <v>8.6569065878476792</v>
      </c>
      <c r="L350" s="38">
        <v>0.48314658517122311</v>
      </c>
      <c r="M350" s="139" t="s">
        <v>811</v>
      </c>
      <c r="N350" s="61">
        <v>20</v>
      </c>
      <c r="O350" s="61">
        <v>40</v>
      </c>
    </row>
    <row r="351" spans="1:24" x14ac:dyDescent="0.2">
      <c r="A351" s="56">
        <v>2325</v>
      </c>
      <c r="B351" s="61">
        <v>543</v>
      </c>
      <c r="C351" s="5">
        <v>41821</v>
      </c>
      <c r="D351" s="139" t="s">
        <v>787</v>
      </c>
      <c r="E351" s="8">
        <v>-89.473716388</v>
      </c>
      <c r="F351" s="8">
        <v>3.0000000000000001E-3</v>
      </c>
      <c r="G351" s="8">
        <v>-379.519466749</v>
      </c>
      <c r="H351" s="8">
        <v>2.4E-2</v>
      </c>
      <c r="I351" s="8">
        <v>-3.4516053525226464</v>
      </c>
      <c r="J351" s="8">
        <v>0.14114733227959939</v>
      </c>
      <c r="K351" s="8">
        <v>-31.290961282690265</v>
      </c>
      <c r="L351" s="8">
        <v>0.78884862186146376</v>
      </c>
      <c r="M351" s="139" t="s">
        <v>786</v>
      </c>
      <c r="N351" s="61">
        <v>20</v>
      </c>
      <c r="O351" s="61">
        <v>40</v>
      </c>
    </row>
    <row r="352" spans="1:24" x14ac:dyDescent="0.2">
      <c r="A352" s="56">
        <v>2327</v>
      </c>
      <c r="B352" s="61">
        <v>544</v>
      </c>
      <c r="C352" s="5">
        <v>41823</v>
      </c>
      <c r="D352" s="139" t="s">
        <v>789</v>
      </c>
      <c r="E352" s="8">
        <v>-108.63897927399999</v>
      </c>
      <c r="F352" s="8">
        <v>4.0000000000000001E-3</v>
      </c>
      <c r="G352" s="8">
        <v>-287.11950367499998</v>
      </c>
      <c r="H352" s="8">
        <v>2.9000000000000001E-2</v>
      </c>
      <c r="I352" s="8">
        <v>-3.5097186752661713</v>
      </c>
      <c r="J352" s="8">
        <v>0.15461695204145698</v>
      </c>
      <c r="K352" s="8">
        <v>-51.846942501505012</v>
      </c>
      <c r="L352" s="8">
        <v>0.82626953353239552</v>
      </c>
      <c r="M352" s="139" t="s">
        <v>788</v>
      </c>
      <c r="N352" s="61">
        <v>14</v>
      </c>
      <c r="O352" s="61">
        <v>37</v>
      </c>
    </row>
    <row r="353" spans="1:22" x14ac:dyDescent="0.2">
      <c r="A353" s="56">
        <v>2329</v>
      </c>
      <c r="B353" s="61">
        <v>545</v>
      </c>
      <c r="C353" s="5">
        <v>41824</v>
      </c>
      <c r="D353" s="139" t="s">
        <v>810</v>
      </c>
      <c r="E353" s="8">
        <v>-79.113646161999995</v>
      </c>
      <c r="F353" s="8">
        <v>3.0000000000000001E-3</v>
      </c>
      <c r="G353" s="8">
        <v>-275.57774098199997</v>
      </c>
      <c r="H353" s="8">
        <v>3.4000000000000002E-2</v>
      </c>
      <c r="I353" s="8">
        <v>-4.1736542627058837</v>
      </c>
      <c r="J353" s="8">
        <v>0.14155293511131972</v>
      </c>
      <c r="K353" s="8">
        <v>-45.795517288887311</v>
      </c>
      <c r="L353" s="8">
        <v>0.65600912913404141</v>
      </c>
      <c r="M353" s="139" t="s">
        <v>809</v>
      </c>
      <c r="N353" s="61">
        <v>20</v>
      </c>
      <c r="O353" s="61">
        <v>38</v>
      </c>
      <c r="V353" s="160" t="s">
        <v>1000</v>
      </c>
    </row>
    <row r="354" spans="1:22" x14ac:dyDescent="0.2">
      <c r="A354" s="56">
        <v>2332</v>
      </c>
      <c r="B354" s="61">
        <v>546</v>
      </c>
      <c r="C354" s="5">
        <v>41825</v>
      </c>
      <c r="D354" s="139" t="s">
        <v>791</v>
      </c>
      <c r="E354" s="8">
        <v>-86.652008586999997</v>
      </c>
      <c r="F354" s="8">
        <v>5.0000000000000001E-3</v>
      </c>
      <c r="G354" s="8">
        <v>-282.04440234899999</v>
      </c>
      <c r="H354" s="8">
        <v>2.1999999999999999E-2</v>
      </c>
      <c r="I354" s="8">
        <v>0.35548325744971798</v>
      </c>
      <c r="J354" s="8">
        <v>0.20940294207595028</v>
      </c>
      <c r="K354" s="8">
        <v>-34.287739113257111</v>
      </c>
      <c r="L354" s="8">
        <v>0.71885722091010351</v>
      </c>
      <c r="M354" s="139" t="s">
        <v>790</v>
      </c>
      <c r="N354" s="61">
        <v>14</v>
      </c>
      <c r="O354" s="61">
        <v>37</v>
      </c>
    </row>
    <row r="355" spans="1:22" x14ac:dyDescent="0.2">
      <c r="A355" s="56">
        <v>2334</v>
      </c>
      <c r="B355" s="61">
        <v>547</v>
      </c>
      <c r="C355" s="5">
        <v>41826</v>
      </c>
      <c r="D355" s="139" t="s">
        <v>808</v>
      </c>
      <c r="E355" s="8">
        <v>-98.64017242300001</v>
      </c>
      <c r="F355" s="8">
        <v>6.0000000000000001E-3</v>
      </c>
      <c r="G355" s="8">
        <v>-298.756295147</v>
      </c>
      <c r="H355" s="8">
        <v>0.02</v>
      </c>
      <c r="I355" s="8">
        <v>0.41951414608099036</v>
      </c>
      <c r="J355" s="8">
        <v>0.22255915981192945</v>
      </c>
      <c r="K355" s="8">
        <v>-35.84383554654724</v>
      </c>
      <c r="L355" s="8">
        <v>0.72445248065958445</v>
      </c>
      <c r="M355" s="139" t="s">
        <v>807</v>
      </c>
      <c r="N355" s="61">
        <v>10</v>
      </c>
      <c r="O355" s="61">
        <v>35</v>
      </c>
    </row>
    <row r="356" spans="1:22" x14ac:dyDescent="0.2">
      <c r="A356" s="56">
        <v>2338</v>
      </c>
      <c r="B356" s="61">
        <v>548</v>
      </c>
      <c r="C356" s="5">
        <v>41827</v>
      </c>
      <c r="D356" s="139" t="s">
        <v>792</v>
      </c>
      <c r="E356" s="8">
        <v>-64.910696995000009</v>
      </c>
      <c r="F356" s="8">
        <v>3.0000000000000001E-3</v>
      </c>
      <c r="G356" s="8">
        <v>-358.99701400099997</v>
      </c>
      <c r="H356" s="8">
        <v>1.7000000000000001E-2</v>
      </c>
      <c r="I356" s="8">
        <v>-0.2564674578972026</v>
      </c>
      <c r="J356" s="8">
        <v>0.12504196537140741</v>
      </c>
      <c r="K356" s="8">
        <v>-17.858486900014348</v>
      </c>
      <c r="L356" s="8">
        <v>0.63587438932249962</v>
      </c>
      <c r="M356" s="139" t="s">
        <v>806</v>
      </c>
      <c r="N356" s="61">
        <v>20</v>
      </c>
      <c r="O356" s="61">
        <v>40</v>
      </c>
    </row>
    <row r="357" spans="1:22" x14ac:dyDescent="0.2">
      <c r="A357" s="56">
        <v>2340</v>
      </c>
      <c r="B357" s="61">
        <v>549</v>
      </c>
      <c r="C357" s="5">
        <v>41829</v>
      </c>
      <c r="D357" s="139" t="s">
        <v>817</v>
      </c>
      <c r="E357" s="8">
        <v>-38.403598960000004</v>
      </c>
      <c r="F357" s="8">
        <v>4.0000000000000001E-3</v>
      </c>
      <c r="G357" s="8">
        <v>-156.888677769</v>
      </c>
      <c r="H357" s="8">
        <v>1.7999999999999999E-2</v>
      </c>
      <c r="I357" s="8">
        <v>3.3618657068348323</v>
      </c>
      <c r="J357" s="8">
        <v>0.18894786034341743</v>
      </c>
      <c r="K357" s="8">
        <v>5.3004090014638905</v>
      </c>
      <c r="L357" s="8">
        <v>0.55522299830630217</v>
      </c>
      <c r="M357" s="139" t="s">
        <v>756</v>
      </c>
      <c r="N357" s="61">
        <v>17</v>
      </c>
      <c r="O357" s="61">
        <v>40</v>
      </c>
    </row>
    <row r="358" spans="1:22" x14ac:dyDescent="0.2">
      <c r="A358" s="56">
        <v>2342</v>
      </c>
      <c r="B358" s="61">
        <v>550</v>
      </c>
      <c r="C358" s="5">
        <v>41830</v>
      </c>
      <c r="D358" s="139" t="s">
        <v>793</v>
      </c>
      <c r="E358" s="8">
        <v>-39.405502720000001</v>
      </c>
      <c r="F358" s="8">
        <v>3.0000000000000001E-3</v>
      </c>
      <c r="G358" s="8">
        <v>-156.15102863299998</v>
      </c>
      <c r="H358" s="8">
        <v>1.6E-2</v>
      </c>
      <c r="I358" s="8">
        <v>2.7565766315458262</v>
      </c>
      <c r="J358" s="8">
        <v>0.14316604156606774</v>
      </c>
      <c r="K358" s="8">
        <v>5.5931577574208635</v>
      </c>
      <c r="L358" s="8">
        <v>0.54145063210823863</v>
      </c>
      <c r="M358" s="139" t="s">
        <v>756</v>
      </c>
      <c r="N358" s="61">
        <v>15</v>
      </c>
      <c r="O358" s="61">
        <v>33</v>
      </c>
    </row>
    <row r="359" spans="1:22" x14ac:dyDescent="0.2">
      <c r="A359" s="56">
        <v>2344</v>
      </c>
      <c r="B359" s="61">
        <v>551</v>
      </c>
      <c r="C359" s="5">
        <v>41831</v>
      </c>
      <c r="D359" s="139" t="s">
        <v>794</v>
      </c>
      <c r="E359" s="8">
        <v>-97.959070539999999</v>
      </c>
      <c r="F359" s="8">
        <v>4.0000000000000001E-3</v>
      </c>
      <c r="G359" s="8">
        <v>-271.94500716299996</v>
      </c>
      <c r="H359" s="8">
        <v>1.4E-2</v>
      </c>
      <c r="I359" s="8">
        <v>-2.1452957037111364</v>
      </c>
      <c r="J359" s="8">
        <v>0.15157893412608106</v>
      </c>
      <c r="K359" s="8">
        <v>-44.502652978806402</v>
      </c>
      <c r="L359" s="8">
        <v>0.57958594923020801</v>
      </c>
      <c r="M359" s="139" t="s">
        <v>805</v>
      </c>
      <c r="N359" s="61">
        <v>17</v>
      </c>
      <c r="O359" s="61">
        <v>38</v>
      </c>
    </row>
    <row r="360" spans="1:22" x14ac:dyDescent="0.2">
      <c r="A360" s="56">
        <v>2346</v>
      </c>
      <c r="B360" s="61">
        <v>552</v>
      </c>
      <c r="C360" s="5">
        <v>41833</v>
      </c>
      <c r="D360" s="139" t="s">
        <v>795</v>
      </c>
      <c r="E360" s="8">
        <v>-99.711438751000003</v>
      </c>
      <c r="F360" s="8">
        <v>3.0000000000000001E-3</v>
      </c>
      <c r="G360" s="8">
        <v>-272.34393985899999</v>
      </c>
      <c r="H360" s="8">
        <v>1.7000000000000001E-2</v>
      </c>
      <c r="I360" s="8">
        <v>-2.2547174881593079</v>
      </c>
      <c r="J360" s="8">
        <v>0.12239886572686361</v>
      </c>
      <c r="K360" s="8">
        <v>-44.482042202911522</v>
      </c>
      <c r="L360" s="8">
        <v>0.63655624007044953</v>
      </c>
      <c r="M360" s="139" t="s">
        <v>804</v>
      </c>
      <c r="N360" s="61">
        <v>20</v>
      </c>
      <c r="O360" s="61">
        <v>40</v>
      </c>
    </row>
    <row r="361" spans="1:22" x14ac:dyDescent="0.2">
      <c r="A361" s="56">
        <v>2348</v>
      </c>
      <c r="B361" s="61">
        <v>553</v>
      </c>
      <c r="C361" s="5">
        <v>41834</v>
      </c>
      <c r="D361" s="139" t="s">
        <v>797</v>
      </c>
      <c r="E361" s="8">
        <v>-69.995358577000005</v>
      </c>
      <c r="F361" s="8">
        <v>3.0000000000000001E-3</v>
      </c>
      <c r="G361" s="8">
        <v>-361.76884353499997</v>
      </c>
      <c r="H361" s="8">
        <v>0.02</v>
      </c>
      <c r="I361" s="8">
        <v>-0.48533678993600837</v>
      </c>
      <c r="J361" s="8">
        <v>0.13314166857001195</v>
      </c>
      <c r="K361" s="8">
        <v>-17.202270894378646</v>
      </c>
      <c r="L361" s="8">
        <v>0.74526340923802259</v>
      </c>
      <c r="M361" s="139" t="s">
        <v>796</v>
      </c>
      <c r="N361" s="61">
        <v>20</v>
      </c>
      <c r="O361" s="61">
        <v>40</v>
      </c>
    </row>
    <row r="362" spans="1:22" x14ac:dyDescent="0.2">
      <c r="A362" s="56">
        <v>2350</v>
      </c>
      <c r="B362" s="61">
        <v>554</v>
      </c>
      <c r="C362" s="5">
        <v>41835</v>
      </c>
      <c r="D362" s="139" t="s">
        <v>799</v>
      </c>
      <c r="E362" s="8">
        <v>-91.980402526000006</v>
      </c>
      <c r="F362" s="8">
        <v>3.0000000000000001E-3</v>
      </c>
      <c r="G362" s="8">
        <v>-285.74487945600004</v>
      </c>
      <c r="H362" s="8">
        <v>1.6E-2</v>
      </c>
      <c r="I362" s="8">
        <v>-3.5711738642838498</v>
      </c>
      <c r="J362" s="8">
        <v>0.11243338343684943</v>
      </c>
      <c r="K362" s="8">
        <v>-46.732147794175674</v>
      </c>
      <c r="L362" s="8">
        <v>0.60750281106181492</v>
      </c>
      <c r="M362" s="139" t="s">
        <v>798</v>
      </c>
      <c r="N362" s="61">
        <v>20</v>
      </c>
      <c r="O362" s="61">
        <v>40</v>
      </c>
    </row>
    <row r="363" spans="1:22" x14ac:dyDescent="0.2">
      <c r="A363" s="56">
        <v>2352</v>
      </c>
      <c r="B363" s="61">
        <v>555</v>
      </c>
      <c r="C363" s="5">
        <v>41836</v>
      </c>
      <c r="D363" s="139" t="s">
        <v>800</v>
      </c>
      <c r="E363" s="8">
        <v>-39.544227855999999</v>
      </c>
      <c r="F363" s="8">
        <v>4.0000000000000001E-3</v>
      </c>
      <c r="G363" s="8">
        <v>-181.417393299</v>
      </c>
      <c r="H363" s="8">
        <v>1.9E-2</v>
      </c>
      <c r="I363" s="8">
        <v>2.9227362609260954</v>
      </c>
      <c r="J363" s="8">
        <v>0.14012706555821064</v>
      </c>
      <c r="K363" s="8">
        <v>2.8668080950275954</v>
      </c>
      <c r="L363" s="8">
        <v>0.63516354172898515</v>
      </c>
      <c r="M363" s="139" t="s">
        <v>803</v>
      </c>
      <c r="N363" s="61">
        <v>13</v>
      </c>
      <c r="O363" s="61">
        <v>27</v>
      </c>
    </row>
    <row r="364" spans="1:22" x14ac:dyDescent="0.2">
      <c r="A364" s="56">
        <v>2354</v>
      </c>
      <c r="B364" s="61">
        <v>556</v>
      </c>
      <c r="C364" s="5">
        <v>41838</v>
      </c>
      <c r="D364" s="139" t="s">
        <v>802</v>
      </c>
      <c r="E364" s="8">
        <v>-42.199272820000004</v>
      </c>
      <c r="F364" s="8">
        <v>4.0000000000000001E-3</v>
      </c>
      <c r="G364" s="8">
        <v>-190.925916473</v>
      </c>
      <c r="H364" s="8">
        <v>1.7999999999999999E-2</v>
      </c>
      <c r="I364" s="8">
        <v>2.877991240037403</v>
      </c>
      <c r="J364" s="8">
        <v>0.13851067325566357</v>
      </c>
      <c r="K364" s="8">
        <v>6.0010270183494807</v>
      </c>
      <c r="L364" s="8">
        <v>0.61579039171824401</v>
      </c>
      <c r="M364" s="139" t="s">
        <v>801</v>
      </c>
      <c r="N364" s="61">
        <v>12</v>
      </c>
      <c r="O364" s="61">
        <v>27</v>
      </c>
    </row>
    <row r="365" spans="1:22" ht="13.5" customHeight="1" x14ac:dyDescent="0.2">
      <c r="A365" s="66">
        <v>2356</v>
      </c>
      <c r="B365" s="78">
        <v>557</v>
      </c>
      <c r="C365" s="37">
        <v>41839</v>
      </c>
      <c r="D365" s="158" t="s">
        <v>785</v>
      </c>
      <c r="E365" s="51">
        <v>-25.821999820000002</v>
      </c>
      <c r="F365" s="51">
        <v>3.0000000000000001E-3</v>
      </c>
      <c r="G365" s="51">
        <v>-154.069804285</v>
      </c>
      <c r="H365" s="38">
        <v>1.6E-2</v>
      </c>
      <c r="I365" s="38">
        <v>2.6369439309033016</v>
      </c>
      <c r="J365" s="38">
        <v>0.10387781572052456</v>
      </c>
      <c r="K365" s="38">
        <v>9.3578535842424593</v>
      </c>
      <c r="L365" s="38">
        <v>0.51846197760205714</v>
      </c>
      <c r="M365" s="139" t="s">
        <v>997</v>
      </c>
      <c r="N365" s="61">
        <v>20</v>
      </c>
      <c r="O365" s="61">
        <v>40</v>
      </c>
    </row>
    <row r="366" spans="1:22" x14ac:dyDescent="0.2">
      <c r="A366" s="56">
        <v>2357</v>
      </c>
      <c r="B366" s="61">
        <v>564</v>
      </c>
      <c r="C366" s="5">
        <v>41839</v>
      </c>
      <c r="D366" s="139" t="s">
        <v>814</v>
      </c>
      <c r="E366" s="8">
        <v>-37.118464713999998</v>
      </c>
      <c r="F366" s="8">
        <v>4.0000000000000001E-3</v>
      </c>
      <c r="G366" s="8">
        <v>-146.91441949</v>
      </c>
      <c r="H366" s="8">
        <v>1.9E-2</v>
      </c>
      <c r="I366" s="8">
        <v>5.5029628206668679</v>
      </c>
      <c r="J366" s="8">
        <v>0.18004465223903746</v>
      </c>
      <c r="K366" s="8">
        <v>7.1724772408352511</v>
      </c>
      <c r="L366" s="8">
        <v>0.59572062914694601</v>
      </c>
      <c r="M366" s="139" t="s">
        <v>812</v>
      </c>
      <c r="N366" s="61">
        <v>19</v>
      </c>
      <c r="O366" s="61">
        <v>40</v>
      </c>
    </row>
    <row r="367" spans="1:22" x14ac:dyDescent="0.2">
      <c r="A367" s="56">
        <v>2361</v>
      </c>
      <c r="B367" s="61">
        <v>565</v>
      </c>
      <c r="C367" s="5">
        <v>41844</v>
      </c>
      <c r="D367" s="139" t="s">
        <v>815</v>
      </c>
      <c r="E367" s="8">
        <v>-43.708872043</v>
      </c>
      <c r="F367" s="8">
        <v>5.0000000000000001E-3</v>
      </c>
      <c r="G367" s="8">
        <v>-221.047216779</v>
      </c>
      <c r="H367" s="8">
        <v>1.4999999999999999E-2</v>
      </c>
      <c r="I367" s="8">
        <v>4.3973609885188392</v>
      </c>
      <c r="J367" s="8">
        <v>0.14120277711679508</v>
      </c>
      <c r="K367" s="8">
        <v>16.717689932197466</v>
      </c>
      <c r="L367" s="8">
        <v>0.55083724108452459</v>
      </c>
      <c r="M367" s="139" t="s">
        <v>812</v>
      </c>
      <c r="N367" s="61">
        <v>13</v>
      </c>
      <c r="O367" s="61">
        <v>40</v>
      </c>
    </row>
    <row r="368" spans="1:22" x14ac:dyDescent="0.2">
      <c r="A368" s="56">
        <v>2363</v>
      </c>
      <c r="B368" s="61">
        <v>566</v>
      </c>
      <c r="C368" s="5">
        <v>41845</v>
      </c>
      <c r="D368" s="139" t="s">
        <v>816</v>
      </c>
      <c r="E368" s="8">
        <v>-51.722175385</v>
      </c>
      <c r="F368" s="8">
        <v>3.0000000000000001E-3</v>
      </c>
      <c r="G368" s="8">
        <v>-301.50366182699997</v>
      </c>
      <c r="H368" s="8">
        <v>1.9E-2</v>
      </c>
      <c r="I368" s="8">
        <v>5.1984748350384358</v>
      </c>
      <c r="J368" s="8">
        <v>0.13255841231103804</v>
      </c>
      <c r="K368" s="8">
        <v>-5.8785903159555009</v>
      </c>
      <c r="L368" s="8">
        <v>0.75187320666449298</v>
      </c>
      <c r="M368" s="139" t="s">
        <v>812</v>
      </c>
      <c r="N368" s="61">
        <v>17</v>
      </c>
      <c r="O368" s="61">
        <v>40</v>
      </c>
    </row>
    <row r="369" spans="1:24" x14ac:dyDescent="0.2">
      <c r="A369" s="56">
        <v>2365</v>
      </c>
      <c r="B369" s="61">
        <v>569</v>
      </c>
      <c r="C369" s="5">
        <v>41846</v>
      </c>
      <c r="D369" s="139" t="s">
        <v>818</v>
      </c>
      <c r="E369" s="8">
        <v>-37.765848681999998</v>
      </c>
      <c r="F369" s="8">
        <v>3.0000000000000001E-3</v>
      </c>
      <c r="G369" s="8">
        <v>-157.344063205</v>
      </c>
      <c r="H369" s="8">
        <v>0.02</v>
      </c>
      <c r="I369" s="8">
        <v>5.6634116696168135</v>
      </c>
      <c r="J369" s="8">
        <v>0.1316389999179042</v>
      </c>
      <c r="K369" s="8">
        <v>6.7995810434018367</v>
      </c>
      <c r="L369" s="8">
        <v>0.59855768504437878</v>
      </c>
      <c r="M369" s="139" t="s">
        <v>819</v>
      </c>
      <c r="N369" s="61">
        <v>18</v>
      </c>
      <c r="O369" s="61">
        <v>40</v>
      </c>
    </row>
    <row r="370" spans="1:24" x14ac:dyDescent="0.2">
      <c r="A370" s="56">
        <v>2367</v>
      </c>
      <c r="B370" s="61">
        <v>572</v>
      </c>
      <c r="C370" s="5">
        <v>41848</v>
      </c>
      <c r="D370" s="139" t="s">
        <v>820</v>
      </c>
      <c r="E370" s="8">
        <v>-36.762981553000003</v>
      </c>
      <c r="F370" s="8">
        <v>5.0000000000000001E-3</v>
      </c>
      <c r="G370" s="8">
        <v>-156.80682129599998</v>
      </c>
      <c r="H370" s="8">
        <v>2.1000000000000001E-2</v>
      </c>
      <c r="I370" s="8">
        <v>3.4651497658617636</v>
      </c>
      <c r="J370" s="8">
        <v>0.15256702264595762</v>
      </c>
      <c r="K370" s="8">
        <v>6.8332591468935888</v>
      </c>
      <c r="L370" s="8">
        <v>0.59055395520277232</v>
      </c>
      <c r="M370" s="139" t="s">
        <v>819</v>
      </c>
      <c r="N370" s="61">
        <v>17</v>
      </c>
      <c r="O370" s="61">
        <v>40</v>
      </c>
    </row>
    <row r="371" spans="1:24" x14ac:dyDescent="0.2">
      <c r="A371" s="56">
        <v>2369</v>
      </c>
      <c r="B371" s="61">
        <v>574</v>
      </c>
      <c r="C371" s="5">
        <v>41849</v>
      </c>
      <c r="D371" s="139" t="s">
        <v>821</v>
      </c>
      <c r="E371" s="8">
        <v>-50.056510383999999</v>
      </c>
      <c r="F371" s="8">
        <v>5.0000000000000001E-3</v>
      </c>
      <c r="G371" s="8">
        <v>-297.16056436299999</v>
      </c>
      <c r="H371" s="8">
        <v>2.7E-2</v>
      </c>
      <c r="I371" s="8">
        <v>2.7729871269874806</v>
      </c>
      <c r="J371" s="8">
        <v>0.21492495824701602</v>
      </c>
      <c r="K371" s="8">
        <v>-11.848970781492607</v>
      </c>
      <c r="L371" s="8">
        <v>1.0325902617193374</v>
      </c>
      <c r="M371" s="139" t="s">
        <v>819</v>
      </c>
      <c r="N371" s="61">
        <v>8</v>
      </c>
      <c r="O371" s="61">
        <v>20</v>
      </c>
    </row>
    <row r="372" spans="1:24" x14ac:dyDescent="0.2">
      <c r="A372" s="56">
        <v>2371</v>
      </c>
      <c r="B372" s="61">
        <v>575</v>
      </c>
      <c r="C372" s="5">
        <v>41850</v>
      </c>
      <c r="D372" s="139" t="s">
        <v>822</v>
      </c>
      <c r="E372" s="8">
        <v>-42.438188331999996</v>
      </c>
      <c r="F372" s="8">
        <v>4.0000000000000001E-3</v>
      </c>
      <c r="G372" s="8">
        <v>-193.48887086900001</v>
      </c>
      <c r="H372" s="8">
        <v>1.6E-2</v>
      </c>
      <c r="I372" s="8">
        <v>3.4346043391650927</v>
      </c>
      <c r="J372" s="8">
        <v>0.15377642418118126</v>
      </c>
      <c r="K372" s="8">
        <v>13.918466173901578</v>
      </c>
      <c r="L372" s="8">
        <v>0.56235698363133846</v>
      </c>
      <c r="M372" s="139" t="s">
        <v>819</v>
      </c>
      <c r="N372" s="61">
        <v>8</v>
      </c>
      <c r="O372" s="61">
        <v>40</v>
      </c>
    </row>
    <row r="373" spans="1:24" x14ac:dyDescent="0.2">
      <c r="A373" s="56">
        <v>2373</v>
      </c>
      <c r="B373" s="61">
        <v>564</v>
      </c>
      <c r="C373" s="5">
        <v>41851</v>
      </c>
      <c r="D373" s="139" t="s">
        <v>823</v>
      </c>
      <c r="E373" s="8">
        <v>-37.161816319000003</v>
      </c>
      <c r="F373" s="8">
        <v>4.0000000000000001E-3</v>
      </c>
      <c r="G373" s="8">
        <v>-146.97181310899998</v>
      </c>
      <c r="H373" s="8">
        <v>1.7999999999999999E-2</v>
      </c>
      <c r="I373" s="8">
        <v>4.6866646911376542</v>
      </c>
      <c r="J373" s="8">
        <v>0.15364930794181855</v>
      </c>
      <c r="K373" s="8">
        <v>7.39796272196247</v>
      </c>
      <c r="L373" s="8">
        <v>0.56298617747843671</v>
      </c>
      <c r="M373" s="139" t="s">
        <v>812</v>
      </c>
      <c r="N373" s="61">
        <v>10</v>
      </c>
      <c r="O373" s="61">
        <v>40</v>
      </c>
    </row>
    <row r="374" spans="1:24" x14ac:dyDescent="0.2">
      <c r="A374" s="56">
        <v>2375</v>
      </c>
      <c r="B374" s="61">
        <v>573</v>
      </c>
      <c r="C374" s="5">
        <v>41852</v>
      </c>
      <c r="D374" s="139" t="s">
        <v>972</v>
      </c>
      <c r="E374" s="8">
        <v>-51.474589552000005</v>
      </c>
      <c r="F374" s="8">
        <v>4.0000000000000001E-3</v>
      </c>
      <c r="G374" s="8">
        <v>-607.7456631419999</v>
      </c>
      <c r="H374" s="8">
        <v>2.8000000000000001E-2</v>
      </c>
      <c r="I374" s="8">
        <v>5.825521626474206</v>
      </c>
      <c r="J374" s="8">
        <v>0.24580947263279951</v>
      </c>
      <c r="K374" s="8">
        <v>-29.01552095281934</v>
      </c>
      <c r="L374" s="8">
        <v>1.4575972073361307</v>
      </c>
      <c r="M374" s="139" t="s">
        <v>754</v>
      </c>
      <c r="N374" s="61">
        <v>10</v>
      </c>
      <c r="O374" s="61">
        <v>32</v>
      </c>
    </row>
    <row r="375" spans="1:24" ht="13.5" customHeight="1" x14ac:dyDescent="0.2">
      <c r="A375" s="66">
        <v>2463</v>
      </c>
      <c r="B375" s="78">
        <v>649</v>
      </c>
      <c r="C375" s="37">
        <v>41889</v>
      </c>
      <c r="D375" s="158" t="s">
        <v>824</v>
      </c>
      <c r="E375" s="51">
        <v>-25.769014525000003</v>
      </c>
      <c r="F375" s="51">
        <v>6.0000000000000001E-3</v>
      </c>
      <c r="G375" s="51">
        <v>-153.95972144200002</v>
      </c>
      <c r="H375" s="38">
        <v>2.1000000000000001E-2</v>
      </c>
      <c r="I375" s="38">
        <v>2.898439358806737</v>
      </c>
      <c r="J375" s="38">
        <v>0.11796985684337849</v>
      </c>
      <c r="K375" s="38">
        <v>9.8539377984874221</v>
      </c>
      <c r="L375" s="38">
        <v>0.59829556180965759</v>
      </c>
      <c r="M375" s="139" t="s">
        <v>819</v>
      </c>
      <c r="N375" s="61">
        <v>15</v>
      </c>
      <c r="O375" s="61">
        <v>34</v>
      </c>
    </row>
    <row r="376" spans="1:24" x14ac:dyDescent="0.2">
      <c r="A376" s="56">
        <v>2464</v>
      </c>
      <c r="B376" s="61">
        <v>650</v>
      </c>
      <c r="C376" s="5">
        <v>41891</v>
      </c>
      <c r="D376" s="139" t="s">
        <v>825</v>
      </c>
      <c r="E376" s="8">
        <v>-44.855281153</v>
      </c>
      <c r="F376" s="8">
        <v>3.0000000000000001E-3</v>
      </c>
      <c r="G376" s="8">
        <v>-195.65477432700001</v>
      </c>
      <c r="H376" s="8">
        <v>2.9000000000000001E-2</v>
      </c>
      <c r="I376" s="8">
        <v>1.9282913700420234</v>
      </c>
      <c r="J376" s="8">
        <v>0.13876012587388409</v>
      </c>
      <c r="K376" s="8">
        <v>5.0502962108391891</v>
      </c>
      <c r="L376" s="8">
        <v>0.4934931562096973</v>
      </c>
      <c r="M376" s="139" t="s">
        <v>827</v>
      </c>
      <c r="N376" s="61">
        <v>11</v>
      </c>
      <c r="O376" s="61">
        <v>34</v>
      </c>
    </row>
    <row r="377" spans="1:24" x14ac:dyDescent="0.2">
      <c r="A377" s="56">
        <v>2467</v>
      </c>
      <c r="B377" s="61">
        <v>651</v>
      </c>
      <c r="C377" s="5">
        <v>41892</v>
      </c>
      <c r="D377" s="139" t="s">
        <v>826</v>
      </c>
      <c r="E377" s="8">
        <v>-44.570123928999998</v>
      </c>
      <c r="F377" s="8">
        <v>4.0000000000000001E-3</v>
      </c>
      <c r="G377" s="8">
        <v>-195.697113882</v>
      </c>
      <c r="H377" s="8">
        <v>2.5999999999999999E-2</v>
      </c>
      <c r="I377" s="8">
        <v>1.652495164587986</v>
      </c>
      <c r="J377" s="8">
        <v>0.12074935886993089</v>
      </c>
      <c r="K377" s="8">
        <v>7.9727490518761712</v>
      </c>
      <c r="L377" s="8">
        <v>0.61130677155599866</v>
      </c>
      <c r="M377" s="139" t="s">
        <v>827</v>
      </c>
      <c r="N377" s="61">
        <v>11</v>
      </c>
      <c r="O377" s="61">
        <v>25</v>
      </c>
    </row>
    <row r="378" spans="1:24" x14ac:dyDescent="0.2">
      <c r="A378" s="56">
        <v>2472</v>
      </c>
      <c r="B378" s="61">
        <v>652</v>
      </c>
      <c r="C378" s="5">
        <v>41893</v>
      </c>
      <c r="D378" s="139" t="s">
        <v>828</v>
      </c>
      <c r="E378" s="8">
        <v>-49.546888183</v>
      </c>
      <c r="F378" s="8">
        <v>5.0000000000000001E-3</v>
      </c>
      <c r="G378" s="8">
        <v>-307.32299844199997</v>
      </c>
      <c r="H378" s="8">
        <v>2.5999999999999999E-2</v>
      </c>
      <c r="I378" s="8">
        <v>2.3041789823305958</v>
      </c>
      <c r="J378" s="8">
        <v>0.16903947037498804</v>
      </c>
      <c r="K378" s="8">
        <v>-12.979806436645314</v>
      </c>
      <c r="L378" s="8">
        <v>0.60780513988166296</v>
      </c>
      <c r="M378" s="139" t="s">
        <v>829</v>
      </c>
      <c r="N378" s="61">
        <v>6</v>
      </c>
      <c r="O378" s="61">
        <v>31</v>
      </c>
    </row>
    <row r="379" spans="1:24" s="49" customFormat="1" x14ac:dyDescent="0.2">
      <c r="A379" s="67"/>
      <c r="B379" s="70"/>
      <c r="C379" s="47"/>
      <c r="D379" s="145" t="s">
        <v>834</v>
      </c>
      <c r="E379" s="50"/>
      <c r="F379" s="50"/>
      <c r="G379" s="50"/>
      <c r="H379" s="50"/>
      <c r="I379" s="50"/>
      <c r="J379" s="50"/>
      <c r="K379" s="50"/>
      <c r="L379" s="50"/>
      <c r="M379" s="145"/>
      <c r="N379" s="70"/>
      <c r="O379" s="70"/>
      <c r="P379" s="82"/>
      <c r="Q379" s="82"/>
      <c r="R379" s="82"/>
      <c r="S379" s="82"/>
      <c r="T379" s="82"/>
      <c r="U379" s="82"/>
      <c r="V379" s="161"/>
      <c r="W379" s="126"/>
      <c r="X379" s="126"/>
    </row>
    <row r="380" spans="1:24" x14ac:dyDescent="0.2">
      <c r="A380" s="56">
        <v>2473</v>
      </c>
      <c r="B380" s="61">
        <v>657</v>
      </c>
      <c r="C380" s="5">
        <v>41893</v>
      </c>
      <c r="D380" s="139" t="s">
        <v>832</v>
      </c>
      <c r="E380" s="8">
        <v>4.1773108399999987</v>
      </c>
      <c r="F380" s="8">
        <v>1.0999999999999999E-2</v>
      </c>
      <c r="G380" s="8">
        <v>-227.396268271</v>
      </c>
      <c r="H380" s="8">
        <v>3.6999999999999998E-2</v>
      </c>
      <c r="I380" s="8">
        <v>0.22696265225596868</v>
      </c>
      <c r="J380" s="8">
        <v>0.28764862512397465</v>
      </c>
      <c r="K380" s="8">
        <v>-24.502490510549201</v>
      </c>
      <c r="L380" s="8">
        <v>0.9436588444948677</v>
      </c>
      <c r="M380" s="139" t="s">
        <v>829</v>
      </c>
      <c r="N380" s="61">
        <v>6</v>
      </c>
      <c r="O380" s="61">
        <v>31</v>
      </c>
    </row>
    <row r="381" spans="1:24" x14ac:dyDescent="0.2">
      <c r="A381" s="56">
        <v>2477</v>
      </c>
      <c r="B381" s="61">
        <v>659</v>
      </c>
      <c r="C381" s="5">
        <v>41895</v>
      </c>
      <c r="D381" s="139" t="s">
        <v>833</v>
      </c>
      <c r="E381" s="8">
        <v>-4.7097681850000024</v>
      </c>
      <c r="F381" s="8">
        <v>8.0000000000000002E-3</v>
      </c>
      <c r="G381" s="8">
        <v>-197.72658988500001</v>
      </c>
      <c r="H381" s="8">
        <v>0.04</v>
      </c>
      <c r="I381" s="8">
        <v>2.637504105692301</v>
      </c>
      <c r="J381" s="8">
        <v>0.28440611767515395</v>
      </c>
      <c r="K381" s="8">
        <v>-1.2666887988902475</v>
      </c>
      <c r="L381" s="8">
        <v>0.8863389266227063</v>
      </c>
      <c r="M381" s="139" t="s">
        <v>831</v>
      </c>
      <c r="N381" s="61">
        <v>6</v>
      </c>
      <c r="O381" s="61">
        <v>27</v>
      </c>
    </row>
    <row r="382" spans="1:24" x14ac:dyDescent="0.2">
      <c r="A382" s="56">
        <v>2478</v>
      </c>
      <c r="B382" s="61">
        <v>662</v>
      </c>
      <c r="C382" s="5">
        <v>41896</v>
      </c>
      <c r="D382" s="139" t="s">
        <v>835</v>
      </c>
      <c r="E382" s="8">
        <v>-49.591203157000002</v>
      </c>
      <c r="F382" s="8">
        <v>0.01</v>
      </c>
      <c r="G382" s="8">
        <v>-307.510233363</v>
      </c>
      <c r="H382" s="8">
        <v>2.1000000000000001E-2</v>
      </c>
      <c r="I382" s="8">
        <v>2.1894826638269027</v>
      </c>
      <c r="J382" s="8">
        <v>0.1856664898197608</v>
      </c>
      <c r="K382" s="8">
        <v>-14.509977412334063</v>
      </c>
      <c r="L382" s="8">
        <v>0.54987093621263683</v>
      </c>
      <c r="M382" s="139" t="s">
        <v>836</v>
      </c>
      <c r="N382" s="61">
        <v>7</v>
      </c>
      <c r="O382" s="61">
        <v>36</v>
      </c>
    </row>
    <row r="383" spans="1:24" x14ac:dyDescent="0.2">
      <c r="A383" s="56">
        <v>2481</v>
      </c>
      <c r="B383" s="61">
        <v>660</v>
      </c>
      <c r="C383" s="5">
        <v>41897</v>
      </c>
      <c r="D383" s="139" t="s">
        <v>837</v>
      </c>
      <c r="E383" s="8">
        <v>-3.3523812640000035</v>
      </c>
      <c r="F383" s="8">
        <v>1.0999999999999999E-2</v>
      </c>
      <c r="G383" s="8">
        <v>-293.579578889</v>
      </c>
      <c r="H383" s="8">
        <v>0.06</v>
      </c>
      <c r="I383" s="8">
        <v>2.0744856458148053</v>
      </c>
      <c r="J383" s="8">
        <v>0.29824479044967073</v>
      </c>
      <c r="K383" s="8">
        <v>-0.20366532516657987</v>
      </c>
      <c r="L383" s="8">
        <v>1.3579291793701049</v>
      </c>
      <c r="M383" s="139" t="s">
        <v>831</v>
      </c>
      <c r="N383" s="61">
        <v>7</v>
      </c>
      <c r="O383" s="61">
        <v>27</v>
      </c>
    </row>
    <row r="384" spans="1:24" s="49" customFormat="1" x14ac:dyDescent="0.2">
      <c r="A384" s="67"/>
      <c r="B384" s="67"/>
      <c r="C384" s="35"/>
      <c r="D384" s="161" t="s">
        <v>838</v>
      </c>
      <c r="E384" s="82"/>
      <c r="F384" s="82"/>
      <c r="G384" s="82"/>
      <c r="H384" s="82"/>
      <c r="I384" s="82"/>
      <c r="J384" s="82"/>
      <c r="K384" s="82"/>
      <c r="L384" s="82"/>
      <c r="M384" s="161"/>
      <c r="N384" s="67"/>
      <c r="O384" s="67"/>
      <c r="P384" s="82"/>
      <c r="Q384" s="82"/>
      <c r="R384" s="82"/>
      <c r="S384" s="82"/>
      <c r="T384" s="82"/>
      <c r="U384" s="82"/>
      <c r="V384" s="161"/>
      <c r="W384" s="126"/>
      <c r="X384" s="126"/>
    </row>
    <row r="385" spans="1:24" x14ac:dyDescent="0.2">
      <c r="A385" s="56">
        <v>2483</v>
      </c>
      <c r="B385" s="61">
        <v>664</v>
      </c>
      <c r="C385" s="5">
        <v>41912</v>
      </c>
      <c r="D385" s="139" t="s">
        <v>840</v>
      </c>
      <c r="E385" s="8">
        <v>-35.1859465</v>
      </c>
      <c r="F385" s="8">
        <v>5.0000000000000001E-3</v>
      </c>
      <c r="G385" s="8">
        <v>-150.435188708</v>
      </c>
      <c r="H385" s="8">
        <v>2.4E-2</v>
      </c>
      <c r="I385" s="8">
        <v>3.2807090420856611</v>
      </c>
      <c r="J385" s="8">
        <v>0.15282005718143063</v>
      </c>
      <c r="K385" s="8">
        <v>8.5474360736430555</v>
      </c>
      <c r="L385" s="8">
        <v>0.69284603502282216</v>
      </c>
      <c r="M385" s="139" t="s">
        <v>839</v>
      </c>
      <c r="N385" s="61">
        <v>7</v>
      </c>
      <c r="O385" s="61">
        <v>20</v>
      </c>
    </row>
    <row r="386" spans="1:24" x14ac:dyDescent="0.2">
      <c r="A386" s="56">
        <v>2486</v>
      </c>
      <c r="B386" s="61">
        <v>665</v>
      </c>
      <c r="C386" s="5">
        <v>41913</v>
      </c>
      <c r="D386" s="139" t="s">
        <v>842</v>
      </c>
      <c r="E386" s="8">
        <v>-34.990382593</v>
      </c>
      <c r="F386" s="8">
        <v>8.9999999999999993E-3</v>
      </c>
      <c r="G386" s="8">
        <v>-150.749442294</v>
      </c>
      <c r="H386" s="8">
        <v>8.5999999999999993E-2</v>
      </c>
      <c r="I386" s="8">
        <v>2.955284513296963</v>
      </c>
      <c r="J386" s="8">
        <v>0.2812233321712207</v>
      </c>
      <c r="K386" s="8">
        <v>7.7303165948596764</v>
      </c>
      <c r="L386" s="8">
        <v>2.4314723545949337</v>
      </c>
      <c r="M386" s="139" t="s">
        <v>841</v>
      </c>
      <c r="N386" s="61">
        <v>2</v>
      </c>
      <c r="O386" s="61">
        <v>2</v>
      </c>
    </row>
    <row r="387" spans="1:24" x14ac:dyDescent="0.2">
      <c r="A387" s="56">
        <v>2492</v>
      </c>
      <c r="B387" s="61">
        <v>666</v>
      </c>
      <c r="C387" s="5">
        <v>41913</v>
      </c>
      <c r="D387" s="139" t="s">
        <v>843</v>
      </c>
      <c r="E387" s="8">
        <v>-31.657125853</v>
      </c>
      <c r="F387" s="8">
        <v>5.0000000000000001E-3</v>
      </c>
      <c r="G387" s="8">
        <v>-145.71479876500001</v>
      </c>
      <c r="H387" s="8">
        <v>2.4E-2</v>
      </c>
      <c r="I387" s="8">
        <v>2.4109331459760686</v>
      </c>
      <c r="J387" s="8">
        <v>0.14927955874317853</v>
      </c>
      <c r="K387" s="8">
        <v>7.0025105549802458</v>
      </c>
      <c r="L387" s="8">
        <v>0.54347207025825595</v>
      </c>
      <c r="M387" s="139" t="s">
        <v>841</v>
      </c>
      <c r="N387" s="61">
        <v>10</v>
      </c>
      <c r="O387" s="61">
        <v>26</v>
      </c>
    </row>
    <row r="388" spans="1:24" x14ac:dyDescent="0.2">
      <c r="A388" s="56">
        <v>2495</v>
      </c>
      <c r="B388" s="61">
        <v>667</v>
      </c>
      <c r="C388" s="5">
        <v>41914</v>
      </c>
      <c r="D388" s="139" t="s">
        <v>844</v>
      </c>
      <c r="E388" s="8">
        <v>-36.063575659000001</v>
      </c>
      <c r="F388" s="8">
        <v>5.0000000000000001E-3</v>
      </c>
      <c r="G388" s="8">
        <v>-149.72764769999998</v>
      </c>
      <c r="H388" s="8">
        <v>2.4E-2</v>
      </c>
      <c r="I388" s="8">
        <v>2.707154371921483</v>
      </c>
      <c r="J388" s="8">
        <v>0.16263013016290415</v>
      </c>
      <c r="K388" s="8">
        <v>8.123677431951748</v>
      </c>
      <c r="L388" s="8">
        <v>0.5479908390341266</v>
      </c>
      <c r="M388" s="139" t="s">
        <v>841</v>
      </c>
      <c r="N388" s="61">
        <v>10</v>
      </c>
      <c r="O388" s="61">
        <v>26</v>
      </c>
    </row>
    <row r="389" spans="1:24" x14ac:dyDescent="0.2">
      <c r="A389" s="56">
        <v>2497</v>
      </c>
      <c r="B389" s="61">
        <v>670</v>
      </c>
      <c r="C389" s="5">
        <v>41914</v>
      </c>
      <c r="D389" s="139" t="s">
        <v>845</v>
      </c>
      <c r="E389" s="8">
        <v>-31.299715954</v>
      </c>
      <c r="F389" s="8">
        <v>6.0000000000000001E-3</v>
      </c>
      <c r="G389" s="8">
        <v>-145.63200141300001</v>
      </c>
      <c r="H389" s="8">
        <v>3.5999999999999997E-2</v>
      </c>
      <c r="I389" s="8">
        <v>2.4620044491674431</v>
      </c>
      <c r="J389" s="8">
        <v>0.14478002691389291</v>
      </c>
      <c r="K389" s="8">
        <v>11.082392974115951</v>
      </c>
      <c r="L389" s="8">
        <v>1.0119527701944488</v>
      </c>
      <c r="M389" s="139" t="s">
        <v>841</v>
      </c>
      <c r="N389" s="61">
        <v>8</v>
      </c>
      <c r="O389" s="61">
        <v>7</v>
      </c>
    </row>
    <row r="390" spans="1:24" x14ac:dyDescent="0.2">
      <c r="A390" s="56">
        <v>2499</v>
      </c>
      <c r="B390" s="61">
        <v>671</v>
      </c>
      <c r="C390" s="5">
        <v>41915</v>
      </c>
      <c r="D390" s="139" t="s">
        <v>846</v>
      </c>
      <c r="E390" s="8">
        <v>-38.044262322999998</v>
      </c>
      <c r="F390" s="8">
        <v>4.0000000000000001E-3</v>
      </c>
      <c r="G390" s="8">
        <v>-150.335455534</v>
      </c>
      <c r="H390" s="8">
        <v>1.7999999999999999E-2</v>
      </c>
      <c r="I390" s="8">
        <v>4.3283025029381417</v>
      </c>
      <c r="J390" s="8">
        <v>0.12477873113480806</v>
      </c>
      <c r="K390" s="8">
        <v>7.5106274817504648</v>
      </c>
      <c r="L390" s="8">
        <v>0.50669399661292003</v>
      </c>
      <c r="M390" s="139" t="s">
        <v>841</v>
      </c>
      <c r="N390" s="61">
        <v>13</v>
      </c>
      <c r="O390" s="61">
        <v>36</v>
      </c>
    </row>
    <row r="391" spans="1:24" x14ac:dyDescent="0.2">
      <c r="A391" s="56">
        <v>2502</v>
      </c>
      <c r="B391" s="61">
        <v>672</v>
      </c>
      <c r="C391" s="5">
        <v>41916</v>
      </c>
      <c r="D391" s="139" t="s">
        <v>973</v>
      </c>
      <c r="E391" s="8">
        <v>-44.084585953000001</v>
      </c>
      <c r="F391" s="8">
        <v>6.0000000000000001E-3</v>
      </c>
      <c r="G391" s="8">
        <v>-582.58799999999997</v>
      </c>
      <c r="H391" s="8">
        <v>2.8000000000000001E-2</v>
      </c>
      <c r="I391" s="8">
        <v>4.7660257337154288</v>
      </c>
      <c r="J391" s="8">
        <v>0.22937454002259758</v>
      </c>
      <c r="K391" s="8">
        <v>-30.286322998508087</v>
      </c>
      <c r="L391" s="8">
        <v>1.0914899926522221</v>
      </c>
      <c r="M391" s="139" t="s">
        <v>847</v>
      </c>
      <c r="N391" s="61">
        <v>13</v>
      </c>
      <c r="O391" s="61">
        <v>39</v>
      </c>
    </row>
    <row r="392" spans="1:24" x14ac:dyDescent="0.2">
      <c r="A392" s="56">
        <v>2505</v>
      </c>
      <c r="B392" s="61">
        <v>674</v>
      </c>
      <c r="C392" s="5">
        <v>41917</v>
      </c>
      <c r="D392" s="139" t="s">
        <v>848</v>
      </c>
      <c r="E392" s="8">
        <v>-15.016853116</v>
      </c>
      <c r="F392" s="8">
        <v>0.1</v>
      </c>
      <c r="G392" s="8">
        <v>5.1438583369999948</v>
      </c>
      <c r="H392" s="8">
        <v>0.16900000000000001</v>
      </c>
      <c r="I392" s="8">
        <v>9.9421723331334366</v>
      </c>
      <c r="J392" s="8">
        <v>0.66782610488344296</v>
      </c>
      <c r="K392" s="8">
        <v>39.230756718674265</v>
      </c>
      <c r="L392" s="8">
        <v>2.5406995949145865</v>
      </c>
      <c r="M392" s="139" t="s">
        <v>841</v>
      </c>
      <c r="N392" s="61">
        <v>0.5</v>
      </c>
      <c r="O392" s="61">
        <v>0.5</v>
      </c>
    </row>
    <row r="393" spans="1:24" x14ac:dyDescent="0.2">
      <c r="A393" s="56">
        <v>2507</v>
      </c>
      <c r="B393" s="61">
        <v>675</v>
      </c>
      <c r="C393" s="5">
        <v>41919</v>
      </c>
      <c r="D393" s="139" t="s">
        <v>849</v>
      </c>
      <c r="E393" s="8">
        <v>-38.002837456000002</v>
      </c>
      <c r="F393" s="8">
        <v>3.0000000000000001E-3</v>
      </c>
      <c r="G393" s="8">
        <v>-155.285419953</v>
      </c>
      <c r="H393" s="8">
        <v>2.1000000000000001E-2</v>
      </c>
      <c r="I393" s="8">
        <v>3.6470564768715796</v>
      </c>
      <c r="J393" s="8">
        <v>9.7721246193322273E-2</v>
      </c>
      <c r="K393" s="8">
        <v>9.8614555560569972</v>
      </c>
      <c r="L393" s="8">
        <v>0.4765665847531933</v>
      </c>
      <c r="M393" s="139" t="s">
        <v>850</v>
      </c>
      <c r="N393" s="61">
        <v>20</v>
      </c>
      <c r="O393" s="61">
        <v>40</v>
      </c>
    </row>
    <row r="394" spans="1:24" x14ac:dyDescent="0.2">
      <c r="A394" s="56">
        <v>2509</v>
      </c>
      <c r="B394" s="61">
        <v>677</v>
      </c>
      <c r="C394" s="5">
        <v>41921</v>
      </c>
      <c r="D394" s="139" t="s">
        <v>867</v>
      </c>
      <c r="E394" s="8">
        <v>-36.273590100999996</v>
      </c>
      <c r="F394" s="8">
        <v>4.0000000000000001E-3</v>
      </c>
      <c r="G394" s="8">
        <v>-5.4504392030000037</v>
      </c>
      <c r="H394" s="8">
        <v>2.7E-2</v>
      </c>
      <c r="I394" s="8">
        <v>3.6587322517558363</v>
      </c>
      <c r="J394" s="8">
        <v>0.11917826884223708</v>
      </c>
      <c r="K394" s="8">
        <v>-0.3147045946321203</v>
      </c>
      <c r="L394" s="8">
        <v>0.52443900294551582</v>
      </c>
      <c r="M394" s="139" t="s">
        <v>850</v>
      </c>
      <c r="N394" s="61">
        <v>20</v>
      </c>
      <c r="O394" s="61">
        <v>29</v>
      </c>
    </row>
    <row r="395" spans="1:24" x14ac:dyDescent="0.2">
      <c r="A395" s="56">
        <v>2511</v>
      </c>
      <c r="B395" s="61">
        <v>678</v>
      </c>
      <c r="C395" s="5">
        <v>41922</v>
      </c>
      <c r="D395" s="139" t="s">
        <v>852</v>
      </c>
      <c r="E395" s="8">
        <v>-65.998340596000006</v>
      </c>
      <c r="F395" s="8">
        <v>5.0000000000000001E-3</v>
      </c>
      <c r="G395" s="8">
        <v>-269.48931297299998</v>
      </c>
      <c r="H395" s="8">
        <v>2.8000000000000001E-2</v>
      </c>
      <c r="I395" s="8">
        <v>-3.2182330572408935</v>
      </c>
      <c r="J395" s="8">
        <v>0.21039868836534542</v>
      </c>
      <c r="K395" s="8">
        <v>-45.703090064618145</v>
      </c>
      <c r="L395" s="8">
        <v>0.80259731496441034</v>
      </c>
      <c r="M395" s="139" t="s">
        <v>851</v>
      </c>
      <c r="N395" s="61">
        <v>7</v>
      </c>
      <c r="O395" s="61">
        <v>25</v>
      </c>
    </row>
    <row r="396" spans="1:24" x14ac:dyDescent="0.2">
      <c r="A396" s="56">
        <v>2513</v>
      </c>
      <c r="B396" s="61">
        <v>679</v>
      </c>
      <c r="C396" s="5">
        <v>41923</v>
      </c>
      <c r="D396" s="139" t="s">
        <v>854</v>
      </c>
      <c r="E396" s="8">
        <v>-93.175943454999995</v>
      </c>
      <c r="F396" s="8">
        <v>3.0000000000000001E-3</v>
      </c>
      <c r="G396" s="8">
        <v>-286.154161821</v>
      </c>
      <c r="H396" s="8">
        <v>2.9000000000000001E-2</v>
      </c>
      <c r="I396" s="8">
        <v>-3.8389953157771384</v>
      </c>
      <c r="J396" s="8">
        <v>0.13840031152321414</v>
      </c>
      <c r="K396" s="8">
        <v>-47.036025488572328</v>
      </c>
      <c r="L396" s="8">
        <v>0.78908594418397038</v>
      </c>
      <c r="M396" s="139" t="s">
        <v>853</v>
      </c>
      <c r="N396" s="61">
        <v>15</v>
      </c>
      <c r="O396" s="61">
        <v>29</v>
      </c>
    </row>
    <row r="397" spans="1:24" x14ac:dyDescent="0.2">
      <c r="A397" s="56">
        <v>2515</v>
      </c>
      <c r="B397" s="61">
        <v>680</v>
      </c>
      <c r="C397" s="5">
        <v>41924</v>
      </c>
      <c r="D397" s="139" t="s">
        <v>856</v>
      </c>
      <c r="E397" s="8">
        <v>-72.148488291999996</v>
      </c>
      <c r="F397" s="8">
        <v>3.0000000000000001E-3</v>
      </c>
      <c r="G397" s="8">
        <v>-270.37468011200002</v>
      </c>
      <c r="H397" s="8">
        <v>3.1E-2</v>
      </c>
      <c r="I397" s="8">
        <v>-5.5090016501572192</v>
      </c>
      <c r="J397" s="8">
        <v>0.11680695062175424</v>
      </c>
      <c r="K397" s="8">
        <v>-47.815278410334948</v>
      </c>
      <c r="L397" s="8">
        <v>0.55882980788855718</v>
      </c>
      <c r="M397" s="139" t="s">
        <v>855</v>
      </c>
      <c r="N397" s="61">
        <v>17</v>
      </c>
      <c r="O397" s="61">
        <v>37</v>
      </c>
    </row>
    <row r="398" spans="1:24" x14ac:dyDescent="0.2">
      <c r="A398" s="56">
        <v>2517</v>
      </c>
      <c r="B398" s="61">
        <v>681</v>
      </c>
      <c r="C398" s="5">
        <v>41925</v>
      </c>
      <c r="D398" s="139" t="s">
        <v>857</v>
      </c>
      <c r="E398" s="8">
        <v>-38.65</v>
      </c>
      <c r="F398" s="8">
        <v>5.0000000000000001E-3</v>
      </c>
      <c r="G398" s="8">
        <v>-523.12199999999996</v>
      </c>
      <c r="H398" s="8">
        <v>0.03</v>
      </c>
      <c r="I398" s="8">
        <v>-3.6259999999999999</v>
      </c>
      <c r="J398" s="8">
        <v>0.184</v>
      </c>
      <c r="K398" s="8">
        <v>-12.981999999999999</v>
      </c>
      <c r="L398" s="8">
        <v>0.96939700500000003</v>
      </c>
      <c r="M398" s="139" t="s">
        <v>858</v>
      </c>
      <c r="N398" s="61">
        <v>15</v>
      </c>
      <c r="O398" s="61">
        <v>35</v>
      </c>
    </row>
    <row r="399" spans="1:24" s="49" customFormat="1" x14ac:dyDescent="0.2">
      <c r="A399" s="67"/>
      <c r="B399" s="67"/>
      <c r="C399" s="35"/>
      <c r="D399" s="161" t="s">
        <v>859</v>
      </c>
      <c r="E399" s="82"/>
      <c r="F399" s="82"/>
      <c r="G399" s="82"/>
      <c r="H399" s="82"/>
      <c r="I399" s="82"/>
      <c r="J399" s="82"/>
      <c r="K399" s="82"/>
      <c r="L399" s="82"/>
      <c r="M399" s="161"/>
      <c r="N399" s="67"/>
      <c r="O399" s="67"/>
      <c r="P399" s="82"/>
      <c r="Q399" s="82"/>
      <c r="R399" s="82"/>
      <c r="S399" s="82"/>
      <c r="T399" s="82"/>
      <c r="U399" s="82"/>
      <c r="V399" s="161"/>
      <c r="W399" s="126"/>
      <c r="X399" s="126"/>
    </row>
    <row r="400" spans="1:24" x14ac:dyDescent="0.2">
      <c r="A400" s="56">
        <v>2520</v>
      </c>
      <c r="B400" s="61">
        <v>682</v>
      </c>
      <c r="C400" s="5">
        <v>41927</v>
      </c>
      <c r="D400" s="139" t="s">
        <v>860</v>
      </c>
      <c r="E400" s="8">
        <v>-99.418574574999994</v>
      </c>
      <c r="F400" s="8">
        <v>7.0000000000000001E-3</v>
      </c>
      <c r="G400" s="8">
        <v>-272.081434618</v>
      </c>
      <c r="H400" s="8">
        <v>2.5000000000000001E-2</v>
      </c>
      <c r="I400" s="8">
        <v>-2.5876735924839078</v>
      </c>
      <c r="J400" s="8">
        <v>0.13143813412539965</v>
      </c>
      <c r="K400" s="8">
        <v>-44.982452149601507</v>
      </c>
      <c r="L400" s="8">
        <v>0.75129573487428225</v>
      </c>
      <c r="M400" s="139" t="s">
        <v>861</v>
      </c>
      <c r="N400" s="61">
        <v>20</v>
      </c>
      <c r="O400" s="61">
        <v>26</v>
      </c>
    </row>
    <row r="401" spans="1:24" x14ac:dyDescent="0.2">
      <c r="A401" s="56">
        <v>2522</v>
      </c>
      <c r="B401" s="61">
        <v>683</v>
      </c>
      <c r="C401" s="5">
        <v>41928</v>
      </c>
      <c r="D401" s="139" t="s">
        <v>863</v>
      </c>
      <c r="E401" s="8">
        <v>-37.847735047</v>
      </c>
      <c r="F401" s="8">
        <v>3.0000000000000001E-3</v>
      </c>
      <c r="G401" s="8">
        <v>-160.22503470300001</v>
      </c>
      <c r="H401" s="8">
        <v>2.1000000000000001E-2</v>
      </c>
      <c r="I401" s="8">
        <v>3.487114334691066</v>
      </c>
      <c r="J401" s="8">
        <v>0.12677535637494053</v>
      </c>
      <c r="K401" s="8">
        <v>12.06254177672017</v>
      </c>
      <c r="L401" s="8">
        <v>0.47866521488942004</v>
      </c>
      <c r="M401" s="139" t="s">
        <v>862</v>
      </c>
      <c r="N401" s="61">
        <v>15</v>
      </c>
      <c r="O401" s="61">
        <v>37</v>
      </c>
    </row>
    <row r="402" spans="1:24" x14ac:dyDescent="0.2">
      <c r="A402" s="56">
        <v>2524</v>
      </c>
      <c r="B402" s="61">
        <v>684</v>
      </c>
      <c r="C402" s="5">
        <v>41929</v>
      </c>
      <c r="D402" s="139" t="s">
        <v>865</v>
      </c>
      <c r="E402" s="8">
        <v>-97.306869727000006</v>
      </c>
      <c r="F402" s="8">
        <v>5.0000000000000001E-3</v>
      </c>
      <c r="G402" s="8">
        <v>-271.38047976300004</v>
      </c>
      <c r="H402" s="8">
        <v>1.9E-2</v>
      </c>
      <c r="I402" s="8">
        <v>-2.5142799972351915</v>
      </c>
      <c r="J402" s="8">
        <v>0.15092885490310409</v>
      </c>
      <c r="K402" s="8">
        <v>-44.85141768181844</v>
      </c>
      <c r="L402" s="8">
        <v>0.62153805123635664</v>
      </c>
      <c r="M402" s="139" t="s">
        <v>1002</v>
      </c>
      <c r="N402" s="61">
        <v>13</v>
      </c>
      <c r="O402" s="61">
        <v>34</v>
      </c>
    </row>
    <row r="403" spans="1:24" x14ac:dyDescent="0.2">
      <c r="A403" s="56">
        <v>2526</v>
      </c>
      <c r="B403" s="61">
        <v>685</v>
      </c>
      <c r="C403" s="5">
        <v>41930</v>
      </c>
      <c r="D403" s="139" t="s">
        <v>864</v>
      </c>
      <c r="E403" s="8">
        <v>-68.963590377999992</v>
      </c>
      <c r="F403" s="8">
        <v>6.0000000000000001E-3</v>
      </c>
      <c r="G403" s="8">
        <v>-361.48940247199999</v>
      </c>
      <c r="H403" s="8">
        <v>2.7E-2</v>
      </c>
      <c r="I403" s="8">
        <v>1.5607852193308958</v>
      </c>
      <c r="J403" s="8">
        <v>0.19779525936981626</v>
      </c>
      <c r="K403" s="8">
        <v>-20.027913943331143</v>
      </c>
      <c r="L403" s="8">
        <v>0.75077328917798603</v>
      </c>
      <c r="M403" s="139" t="s">
        <v>1003</v>
      </c>
      <c r="N403" s="61">
        <v>11</v>
      </c>
      <c r="O403" s="61">
        <v>40</v>
      </c>
    </row>
    <row r="404" spans="1:24" s="49" customFormat="1" x14ac:dyDescent="0.2">
      <c r="A404" s="67"/>
      <c r="B404" s="67"/>
      <c r="C404" s="35"/>
      <c r="D404" s="161" t="s">
        <v>866</v>
      </c>
      <c r="E404" s="82"/>
      <c r="F404" s="82"/>
      <c r="G404" s="82"/>
      <c r="H404" s="82"/>
      <c r="I404" s="82"/>
      <c r="J404" s="82"/>
      <c r="K404" s="82"/>
      <c r="L404" s="82"/>
      <c r="M404" s="161"/>
      <c r="N404" s="67"/>
      <c r="O404" s="67"/>
      <c r="P404" s="82"/>
      <c r="Q404" s="82"/>
      <c r="R404" s="82"/>
      <c r="S404" s="82"/>
      <c r="T404" s="82"/>
      <c r="U404" s="82"/>
      <c r="V404" s="161"/>
      <c r="W404" s="126"/>
      <c r="X404" s="126"/>
    </row>
    <row r="405" spans="1:24" x14ac:dyDescent="0.2">
      <c r="A405" s="56">
        <v>2528</v>
      </c>
      <c r="B405" s="61">
        <v>686</v>
      </c>
      <c r="C405" s="5">
        <v>41933</v>
      </c>
      <c r="D405" s="139" t="s">
        <v>868</v>
      </c>
      <c r="E405" s="8">
        <v>-42.994052245000006</v>
      </c>
      <c r="F405" s="8">
        <v>6.0000000000000001E-3</v>
      </c>
      <c r="G405" s="8">
        <v>-183.75077321900002</v>
      </c>
      <c r="H405" s="8">
        <v>2.5000000000000001E-2</v>
      </c>
      <c r="I405" s="8">
        <v>3.6624229239430317</v>
      </c>
      <c r="J405" s="8">
        <v>0.1651148131600241</v>
      </c>
      <c r="K405" s="8">
        <v>6.715602537038734</v>
      </c>
      <c r="L405" s="8">
        <v>0.57180232028790468</v>
      </c>
      <c r="M405" s="139" t="s">
        <v>850</v>
      </c>
      <c r="N405" s="61">
        <v>10</v>
      </c>
      <c r="O405" s="61">
        <v>29</v>
      </c>
    </row>
    <row r="406" spans="1:24" x14ac:dyDescent="0.2">
      <c r="A406" s="56">
        <v>2530</v>
      </c>
      <c r="B406" s="61">
        <v>687</v>
      </c>
      <c r="C406" s="5">
        <v>41933</v>
      </c>
      <c r="D406" s="139" t="s">
        <v>888</v>
      </c>
      <c r="E406" s="8">
        <v>-39.723414490000003</v>
      </c>
      <c r="F406" s="8">
        <v>4.0000000000000001E-3</v>
      </c>
      <c r="G406" s="8">
        <v>-156.28651520899999</v>
      </c>
      <c r="H406" s="8">
        <v>2.5000000000000001E-2</v>
      </c>
      <c r="I406" s="8">
        <v>2.6600480293714757</v>
      </c>
      <c r="J406" s="8">
        <v>0.14266744077017474</v>
      </c>
      <c r="K406" s="8">
        <v>4.9233524389051819</v>
      </c>
      <c r="L406" s="8">
        <v>0.52399854261877044</v>
      </c>
      <c r="M406" s="139" t="s">
        <v>850</v>
      </c>
      <c r="N406" s="61">
        <v>12</v>
      </c>
      <c r="O406" s="61">
        <v>29</v>
      </c>
    </row>
    <row r="407" spans="1:24" x14ac:dyDescent="0.2">
      <c r="A407" s="56">
        <v>2532</v>
      </c>
      <c r="B407" s="61">
        <v>688</v>
      </c>
      <c r="C407" s="5">
        <v>41933</v>
      </c>
      <c r="D407" s="139" t="s">
        <v>871</v>
      </c>
      <c r="E407" s="8">
        <v>-75.277510804000002</v>
      </c>
      <c r="F407" s="8">
        <v>4.0000000000000001E-3</v>
      </c>
      <c r="G407" s="8">
        <v>-339.79649624799998</v>
      </c>
      <c r="H407" s="8">
        <v>2.8000000000000001E-2</v>
      </c>
      <c r="I407" s="8">
        <v>4.0625718965203728</v>
      </c>
      <c r="J407" s="8">
        <v>0.13672232948983357</v>
      </c>
      <c r="K407" s="8">
        <v>4.6230813607284205</v>
      </c>
      <c r="L407" s="8">
        <v>0.56371754065160273</v>
      </c>
      <c r="M407" s="139" t="s">
        <v>850</v>
      </c>
      <c r="N407" s="61">
        <v>16</v>
      </c>
      <c r="O407" s="61">
        <v>34</v>
      </c>
    </row>
    <row r="408" spans="1:24" x14ac:dyDescent="0.2">
      <c r="A408" s="56">
        <v>2534</v>
      </c>
      <c r="B408" s="61">
        <v>689</v>
      </c>
      <c r="C408" s="5">
        <v>41933</v>
      </c>
      <c r="D408" s="139" t="s">
        <v>870</v>
      </c>
      <c r="E408" s="8">
        <v>-39.002814478000005</v>
      </c>
      <c r="F408" s="8">
        <v>4.0000000000000001E-3</v>
      </c>
      <c r="G408" s="8">
        <v>-158.052545092</v>
      </c>
      <c r="H408" s="8">
        <v>2.4E-2</v>
      </c>
      <c r="I408" s="8">
        <v>4.9451807562779226</v>
      </c>
      <c r="J408" s="8">
        <v>0.14265972910962926</v>
      </c>
      <c r="K408" s="8">
        <v>6.8838328315730113</v>
      </c>
      <c r="L408" s="8">
        <v>0.52865034171373615</v>
      </c>
      <c r="M408" s="139" t="s">
        <v>850</v>
      </c>
      <c r="N408" s="61">
        <v>12</v>
      </c>
      <c r="O408" s="61">
        <v>29</v>
      </c>
    </row>
    <row r="409" spans="1:24" x14ac:dyDescent="0.2">
      <c r="A409" s="56">
        <v>2536</v>
      </c>
      <c r="B409" s="61">
        <v>690</v>
      </c>
      <c r="C409" s="5">
        <v>41937</v>
      </c>
      <c r="D409" s="139" t="s">
        <v>872</v>
      </c>
      <c r="E409" s="8">
        <v>4.2168089690000023</v>
      </c>
      <c r="F409" s="8">
        <v>3.0000000000000001E-3</v>
      </c>
      <c r="G409" s="8">
        <v>58.509574338000007</v>
      </c>
      <c r="H409" s="8">
        <v>2.1999999999999999E-2</v>
      </c>
      <c r="I409" s="8">
        <v>-9.1488822185905594</v>
      </c>
      <c r="J409" s="8">
        <v>0.11005148415178911</v>
      </c>
      <c r="K409" s="8">
        <v>-47.105381911529797</v>
      </c>
      <c r="L409" s="8">
        <v>0.47243597651345165</v>
      </c>
      <c r="M409" s="139" t="s">
        <v>850</v>
      </c>
      <c r="N409" s="61">
        <v>20</v>
      </c>
      <c r="O409" s="61">
        <v>37</v>
      </c>
    </row>
    <row r="410" spans="1:24" s="49" customFormat="1" x14ac:dyDescent="0.2">
      <c r="A410" s="67"/>
      <c r="B410" s="67"/>
      <c r="C410" s="35"/>
      <c r="D410" s="161" t="s">
        <v>873</v>
      </c>
      <c r="E410" s="82"/>
      <c r="F410" s="82"/>
      <c r="G410" s="82"/>
      <c r="H410" s="82"/>
      <c r="I410" s="82"/>
      <c r="J410" s="82"/>
      <c r="K410" s="82"/>
      <c r="L410" s="82"/>
      <c r="M410" s="161"/>
      <c r="N410" s="67"/>
      <c r="O410" s="67"/>
      <c r="P410" s="82"/>
      <c r="Q410" s="82"/>
      <c r="R410" s="82"/>
      <c r="S410" s="82"/>
      <c r="T410" s="82"/>
      <c r="U410" s="82"/>
      <c r="V410" s="161"/>
      <c r="W410" s="126"/>
      <c r="X410" s="126"/>
    </row>
    <row r="411" spans="1:24" x14ac:dyDescent="0.2">
      <c r="A411" s="56">
        <v>2538</v>
      </c>
      <c r="B411" s="61">
        <v>690</v>
      </c>
      <c r="C411" s="5">
        <v>41940</v>
      </c>
      <c r="D411" s="139" t="s">
        <v>874</v>
      </c>
      <c r="E411" s="8">
        <v>-36.762981553000003</v>
      </c>
      <c r="F411" s="8">
        <v>4.0000000000000001E-3</v>
      </c>
      <c r="G411" s="8">
        <v>-151.847448087</v>
      </c>
      <c r="H411" s="8">
        <v>2.8000000000000001E-2</v>
      </c>
      <c r="I411" s="8">
        <v>5.3861619652213477</v>
      </c>
      <c r="J411" s="8">
        <v>0.11106647646008716</v>
      </c>
      <c r="K411" s="8">
        <v>8.4869931079660788</v>
      </c>
      <c r="L411" s="8">
        <v>0.50058507009770215</v>
      </c>
      <c r="M411" s="139" t="s">
        <v>862</v>
      </c>
      <c r="N411" s="61">
        <v>20</v>
      </c>
      <c r="O411" s="61">
        <v>39</v>
      </c>
    </row>
    <row r="412" spans="1:24" x14ac:dyDescent="0.2">
      <c r="A412" s="56">
        <v>2540</v>
      </c>
      <c r="B412" s="61">
        <v>692</v>
      </c>
      <c r="C412" s="5">
        <v>41942</v>
      </c>
      <c r="D412" s="139" t="s">
        <v>875</v>
      </c>
      <c r="E412" s="8">
        <v>-38.762935597000002</v>
      </c>
      <c r="F412" s="8">
        <v>3.0000000000000001E-3</v>
      </c>
      <c r="G412" s="8">
        <v>-157.97257037700001</v>
      </c>
      <c r="H412" s="8">
        <v>2.4E-2</v>
      </c>
      <c r="I412" s="8">
        <v>5.6953267907529082</v>
      </c>
      <c r="J412" s="8">
        <v>0.12504687599556502</v>
      </c>
      <c r="K412" s="8">
        <v>6.3544967334996372</v>
      </c>
      <c r="L412" s="8">
        <v>0.5041444287445459</v>
      </c>
      <c r="M412" s="139" t="s">
        <v>862</v>
      </c>
      <c r="N412" s="61">
        <v>20</v>
      </c>
      <c r="O412" s="61">
        <v>40</v>
      </c>
    </row>
    <row r="413" spans="1:24" x14ac:dyDescent="0.2">
      <c r="A413" s="56">
        <v>2541</v>
      </c>
      <c r="B413" s="61">
        <v>693</v>
      </c>
      <c r="C413" s="5">
        <v>41942</v>
      </c>
      <c r="D413" s="139" t="s">
        <v>898</v>
      </c>
      <c r="E413" s="8">
        <v>-40.406443110999994</v>
      </c>
      <c r="F413" s="8">
        <v>1.7000000000000001E-2</v>
      </c>
      <c r="G413" s="8">
        <v>-166.12152339599999</v>
      </c>
      <c r="H413" s="8">
        <v>3.2000000000000001E-2</v>
      </c>
      <c r="I413" s="8">
        <v>3.1190554427962258</v>
      </c>
      <c r="J413" s="8">
        <v>0.48534254449111647</v>
      </c>
      <c r="K413" s="8">
        <v>12.946363109887171</v>
      </c>
      <c r="L413" s="8">
        <v>0.81520997396808526</v>
      </c>
      <c r="M413" s="139" t="s">
        <v>862</v>
      </c>
      <c r="N413" s="61">
        <v>12</v>
      </c>
      <c r="O413" s="61">
        <v>21</v>
      </c>
    </row>
    <row r="414" spans="1:24" ht="11.25" customHeight="1" x14ac:dyDescent="0.2">
      <c r="A414" s="56">
        <v>2544</v>
      </c>
      <c r="B414" s="61">
        <v>696</v>
      </c>
      <c r="C414" s="5">
        <v>41943</v>
      </c>
      <c r="D414" s="139" t="s">
        <v>897</v>
      </c>
      <c r="E414" s="8">
        <v>-36.010590364000002</v>
      </c>
      <c r="F414" s="8">
        <v>8.9999999999999993E-3</v>
      </c>
      <c r="G414" s="8">
        <v>-167.81698735399999</v>
      </c>
      <c r="H414" s="8">
        <v>3.2000000000000001E-2</v>
      </c>
      <c r="I414" s="8">
        <v>3.593711301186131</v>
      </c>
      <c r="J414" s="8">
        <v>0.1835067184547706</v>
      </c>
      <c r="K414" s="8">
        <v>15.639911514603977</v>
      </c>
      <c r="L414" s="8">
        <v>0.81638591401684291</v>
      </c>
      <c r="M414" s="139" t="s">
        <v>862</v>
      </c>
      <c r="N414" s="61">
        <v>10</v>
      </c>
      <c r="O414" s="61">
        <v>30</v>
      </c>
    </row>
    <row r="415" spans="1:24" x14ac:dyDescent="0.2">
      <c r="A415" s="56">
        <v>2546</v>
      </c>
      <c r="B415" s="61">
        <v>697</v>
      </c>
      <c r="C415" s="5">
        <v>41945</v>
      </c>
      <c r="D415" s="139" t="s">
        <v>896</v>
      </c>
      <c r="E415" s="8">
        <v>-37.283999999999999</v>
      </c>
      <c r="F415" s="8">
        <v>5.0000000000000001E-3</v>
      </c>
      <c r="G415" s="8">
        <v>-165.15100000000001</v>
      </c>
      <c r="H415" s="8">
        <v>2.4E-2</v>
      </c>
      <c r="I415" s="8">
        <v>3.5779999999999998</v>
      </c>
      <c r="J415" s="8">
        <v>0.108</v>
      </c>
      <c r="K415" s="8">
        <v>12.772</v>
      </c>
      <c r="L415" s="8" t="s">
        <v>876</v>
      </c>
      <c r="M415" s="139" t="s">
        <v>862</v>
      </c>
      <c r="N415" s="61">
        <v>17</v>
      </c>
      <c r="O415" s="61">
        <v>38</v>
      </c>
    </row>
    <row r="416" spans="1:24" x14ac:dyDescent="0.2">
      <c r="A416" s="56">
        <v>2548</v>
      </c>
      <c r="B416" s="61">
        <v>698</v>
      </c>
      <c r="C416" s="5">
        <v>41945</v>
      </c>
      <c r="D416" s="139" t="s">
        <v>895</v>
      </c>
      <c r="E416" s="8">
        <v>-40.147296849999996</v>
      </c>
      <c r="F416" s="8">
        <v>8.0000000000000002E-3</v>
      </c>
      <c r="G416" s="8">
        <v>-77.798389029000006</v>
      </c>
      <c r="H416" s="8">
        <v>2.5000000000000001E-2</v>
      </c>
      <c r="I416" s="8">
        <v>5.3295139950524373</v>
      </c>
      <c r="J416" s="8">
        <v>0.15896007403016821</v>
      </c>
      <c r="K416" s="8">
        <v>19.851870740669185</v>
      </c>
      <c r="L416" s="8">
        <v>0.63901851743051941</v>
      </c>
      <c r="M416" s="139" t="s">
        <v>862</v>
      </c>
      <c r="N416" s="61">
        <v>12</v>
      </c>
      <c r="O416" s="61">
        <v>32</v>
      </c>
    </row>
    <row r="417" spans="1:24" s="54" customFormat="1" x14ac:dyDescent="0.2">
      <c r="A417" s="68">
        <v>2554</v>
      </c>
      <c r="B417" s="79">
        <v>701</v>
      </c>
      <c r="C417" s="53">
        <v>41949</v>
      </c>
      <c r="D417" s="156" t="s">
        <v>877</v>
      </c>
      <c r="E417" s="41">
        <v>-25.825853295999998</v>
      </c>
      <c r="F417" s="41">
        <v>7.0000000000000001E-3</v>
      </c>
      <c r="G417" s="41">
        <v>-153.137393196</v>
      </c>
      <c r="H417" s="41">
        <v>2.7E-2</v>
      </c>
      <c r="I417" s="41">
        <v>2.2335557450969823</v>
      </c>
      <c r="J417" s="41">
        <v>0.15472728624676343</v>
      </c>
      <c r="K417" s="41">
        <v>6.7689043317227249</v>
      </c>
      <c r="L417" s="41">
        <v>0.5197005039778162</v>
      </c>
      <c r="M417" s="156" t="s">
        <v>862</v>
      </c>
      <c r="N417" s="79">
        <v>12</v>
      </c>
      <c r="O417" s="79">
        <v>31</v>
      </c>
      <c r="P417" s="194"/>
      <c r="Q417" s="194"/>
      <c r="R417" s="194"/>
      <c r="S417" s="194"/>
      <c r="T417" s="194"/>
      <c r="U417" s="194"/>
      <c r="V417" s="181"/>
      <c r="W417" s="130"/>
      <c r="X417" s="130"/>
    </row>
    <row r="418" spans="1:24" ht="11.25" customHeight="1" x14ac:dyDescent="0.2">
      <c r="A418" s="56">
        <v>2556</v>
      </c>
      <c r="B418" s="61">
        <v>712</v>
      </c>
      <c r="C418" s="5">
        <v>41951</v>
      </c>
      <c r="D418" s="139" t="s">
        <v>880</v>
      </c>
      <c r="E418" s="8">
        <v>-100.74513368800001</v>
      </c>
      <c r="F418" s="8">
        <v>0.01</v>
      </c>
      <c r="G418" s="8">
        <v>-194.71859972199999</v>
      </c>
      <c r="H418" s="8">
        <v>3.5999999999999997E-2</v>
      </c>
      <c r="I418" s="8">
        <v>0.25651125713488399</v>
      </c>
      <c r="J418" s="8">
        <v>0.18296519193069244</v>
      </c>
      <c r="K418" s="8">
        <v>-0.13998076653143343</v>
      </c>
      <c r="L418" s="8">
        <v>0.96214842069111628</v>
      </c>
      <c r="M418" s="139" t="s">
        <v>879</v>
      </c>
      <c r="N418" s="61">
        <v>16</v>
      </c>
      <c r="O418" s="61">
        <v>20</v>
      </c>
    </row>
    <row r="419" spans="1:24" ht="11.25" customHeight="1" x14ac:dyDescent="0.2">
      <c r="A419" s="56">
        <v>2558</v>
      </c>
      <c r="B419" s="61">
        <v>721</v>
      </c>
      <c r="C419" s="5">
        <v>41952</v>
      </c>
      <c r="D419" s="139" t="s">
        <v>885</v>
      </c>
      <c r="E419" s="8">
        <v>-100.846287433</v>
      </c>
      <c r="F419" s="8">
        <v>7.0000000000000001E-3</v>
      </c>
      <c r="G419" s="8">
        <v>-190.06218955100002</v>
      </c>
      <c r="H419" s="8">
        <v>4.1000000000000002E-2</v>
      </c>
      <c r="I419" s="8">
        <v>0.53479467779093959</v>
      </c>
      <c r="J419" s="8">
        <v>0.29643975013772356</v>
      </c>
      <c r="K419" s="8">
        <v>0.78907596392552293</v>
      </c>
      <c r="L419" s="8">
        <v>1.0842896216441249</v>
      </c>
      <c r="M419" s="139" t="s">
        <v>881</v>
      </c>
      <c r="N419" s="61" t="s">
        <v>882</v>
      </c>
      <c r="O419" s="61">
        <v>17</v>
      </c>
    </row>
    <row r="420" spans="1:24" ht="11.25" customHeight="1" x14ac:dyDescent="0.2">
      <c r="A420" s="56">
        <v>2561</v>
      </c>
      <c r="B420" s="61">
        <v>727</v>
      </c>
      <c r="C420" s="5">
        <v>41954</v>
      </c>
      <c r="D420" s="139" t="s">
        <v>883</v>
      </c>
      <c r="E420" s="8">
        <v>-99.992742499000002</v>
      </c>
      <c r="F420" s="8">
        <v>6.0000000000000001E-3</v>
      </c>
      <c r="G420" s="8">
        <v>-299.48735813000002</v>
      </c>
      <c r="H420" s="8">
        <v>3.7999999999999999E-2</v>
      </c>
      <c r="I420" s="8">
        <v>1.7036927846048044E-2</v>
      </c>
      <c r="J420" s="8">
        <v>0.12468395157047039</v>
      </c>
      <c r="K420" s="8">
        <v>-52.284180114226977</v>
      </c>
      <c r="L420" s="8">
        <v>0.8336747496847835</v>
      </c>
      <c r="M420" s="139" t="s">
        <v>881</v>
      </c>
      <c r="N420" s="61">
        <v>20</v>
      </c>
      <c r="O420" s="61">
        <v>19</v>
      </c>
    </row>
    <row r="421" spans="1:24" ht="11.25" customHeight="1" x14ac:dyDescent="0.2">
      <c r="A421" s="56">
        <v>2563</v>
      </c>
      <c r="B421" s="61">
        <v>734</v>
      </c>
      <c r="C421" s="5">
        <v>41955</v>
      </c>
      <c r="D421" s="139" t="s">
        <v>884</v>
      </c>
      <c r="E421" s="8">
        <v>-100.121</v>
      </c>
      <c r="F421" s="8">
        <v>1.6E-2</v>
      </c>
      <c r="G421" s="8">
        <v>-318.637</v>
      </c>
      <c r="H421" s="8">
        <v>4.3999999999999997E-2</v>
      </c>
      <c r="I421" s="8">
        <v>1.0609999999999999</v>
      </c>
      <c r="J421" s="8">
        <v>0.26100000000000001</v>
      </c>
      <c r="K421" s="8">
        <v>-46.506999999999998</v>
      </c>
      <c r="L421" s="8">
        <v>1.1736</v>
      </c>
      <c r="M421" s="139"/>
      <c r="N421" s="61">
        <v>10</v>
      </c>
      <c r="O421" s="61">
        <v>20</v>
      </c>
    </row>
    <row r="422" spans="1:24" ht="11.25" customHeight="1" x14ac:dyDescent="0.2">
      <c r="A422" s="56">
        <v>2565</v>
      </c>
      <c r="B422" s="61">
        <v>738</v>
      </c>
      <c r="C422" s="5">
        <v>41955</v>
      </c>
      <c r="D422" s="139" t="s">
        <v>886</v>
      </c>
      <c r="E422" s="8">
        <v>-100.14977164599999</v>
      </c>
      <c r="F422" s="8">
        <v>0.01</v>
      </c>
      <c r="G422" s="8">
        <v>-300.21653935500001</v>
      </c>
      <c r="H422" s="8">
        <v>3.3000000000000002E-2</v>
      </c>
      <c r="I422" s="8">
        <v>0.49532486668080189</v>
      </c>
      <c r="J422" s="8">
        <v>0.24185702044897775</v>
      </c>
      <c r="K422" s="8">
        <v>-51.113675635362512</v>
      </c>
      <c r="L422" s="8">
        <v>0.87851428028746492</v>
      </c>
      <c r="M422" s="139" t="s">
        <v>887</v>
      </c>
      <c r="N422" s="61">
        <v>10</v>
      </c>
      <c r="O422" s="61">
        <v>20</v>
      </c>
    </row>
    <row r="423" spans="1:24" ht="11.25" customHeight="1" x14ac:dyDescent="0.2">
      <c r="A423" s="56">
        <v>2567</v>
      </c>
      <c r="B423" s="61">
        <v>739</v>
      </c>
      <c r="C423" s="5">
        <v>41955</v>
      </c>
      <c r="D423" s="139" t="s">
        <v>889</v>
      </c>
      <c r="E423" s="8">
        <v>-38.268727300000002</v>
      </c>
      <c r="F423" s="8">
        <v>8.0000000000000002E-3</v>
      </c>
      <c r="G423" s="8">
        <v>-157.006287644</v>
      </c>
      <c r="H423" s="8">
        <v>2.3E-2</v>
      </c>
      <c r="I423" s="8">
        <v>3.6764002504927618</v>
      </c>
      <c r="J423" s="8">
        <v>0.13794631679845448</v>
      </c>
      <c r="K423" s="8">
        <v>6.3264936363924829</v>
      </c>
      <c r="L423" s="8">
        <v>0.59026862647917355</v>
      </c>
      <c r="M423" s="139" t="s">
        <v>887</v>
      </c>
      <c r="N423" s="61">
        <v>10</v>
      </c>
      <c r="O423" s="61">
        <v>20</v>
      </c>
    </row>
    <row r="424" spans="1:24" ht="11.25" customHeight="1" x14ac:dyDescent="0.2">
      <c r="A424" s="56">
        <v>2594</v>
      </c>
      <c r="B424" s="61">
        <v>761</v>
      </c>
      <c r="C424" s="5">
        <v>41974</v>
      </c>
      <c r="D424" s="139" t="s">
        <v>891</v>
      </c>
      <c r="E424" s="8">
        <v>-52.733712835000006</v>
      </c>
      <c r="F424" s="8">
        <v>5.0000000000000001E-3</v>
      </c>
      <c r="G424" s="8">
        <v>-204.38519056800001</v>
      </c>
      <c r="H424" s="8">
        <v>1.7999999999999999E-2</v>
      </c>
      <c r="I424" s="8">
        <v>4.872767790851551</v>
      </c>
      <c r="J424" s="8">
        <v>0.21640061245962805</v>
      </c>
      <c r="K424" s="8">
        <v>2.539178360773553</v>
      </c>
      <c r="L424" s="8">
        <v>0.56935696621361487</v>
      </c>
      <c r="M424" s="139"/>
      <c r="N424" s="61">
        <v>11</v>
      </c>
      <c r="O424" s="61">
        <v>37</v>
      </c>
    </row>
    <row r="425" spans="1:24" ht="11.25" customHeight="1" x14ac:dyDescent="0.2">
      <c r="A425" s="56">
        <v>2596</v>
      </c>
      <c r="B425" s="61">
        <v>764</v>
      </c>
      <c r="C425" s="5">
        <v>41975</v>
      </c>
      <c r="D425" s="139" t="s">
        <v>892</v>
      </c>
      <c r="E425" s="8">
        <v>-30.850015304800003</v>
      </c>
      <c r="F425" s="8">
        <v>7.0000000000000001E-3</v>
      </c>
      <c r="G425" s="8">
        <v>-142.77361101100001</v>
      </c>
      <c r="H425" s="8">
        <v>3.2000000000000001E-2</v>
      </c>
      <c r="I425" s="8">
        <v>2.5267239109034723</v>
      </c>
      <c r="J425" s="8">
        <v>0.46942935356514209</v>
      </c>
      <c r="K425" s="8">
        <v>6.3212264034429033</v>
      </c>
      <c r="L425" s="8">
        <v>0.95076847776671525</v>
      </c>
      <c r="M425" s="139"/>
      <c r="N425" s="61">
        <v>8</v>
      </c>
      <c r="O425" s="61">
        <v>37</v>
      </c>
    </row>
    <row r="426" spans="1:24" ht="11.25" customHeight="1" x14ac:dyDescent="0.2">
      <c r="A426" s="56">
        <v>2598</v>
      </c>
      <c r="B426" s="61">
        <v>765</v>
      </c>
      <c r="C426" s="5">
        <v>41975</v>
      </c>
      <c r="D426" s="139" t="s">
        <v>893</v>
      </c>
      <c r="E426" s="8"/>
      <c r="F426" s="8">
        <v>7.0000000000000001E-3</v>
      </c>
      <c r="G426" s="8"/>
      <c r="H426" s="8">
        <v>8.4000000000000005E-2</v>
      </c>
      <c r="I426" s="8">
        <v>75.928163422062767</v>
      </c>
      <c r="J426" s="8">
        <v>0.5135362741288596</v>
      </c>
      <c r="K426" s="8">
        <v>-0.10440905494557562</v>
      </c>
      <c r="L426" s="8">
        <v>2.5223259908643816</v>
      </c>
      <c r="M426" s="160" t="s">
        <v>902</v>
      </c>
      <c r="N426" s="61">
        <v>0</v>
      </c>
      <c r="O426" s="61">
        <v>4</v>
      </c>
      <c r="V426" s="160" t="s">
        <v>671</v>
      </c>
    </row>
    <row r="427" spans="1:24" ht="11.25" customHeight="1" x14ac:dyDescent="0.2">
      <c r="A427" s="56">
        <v>2599</v>
      </c>
      <c r="B427" s="61">
        <v>766</v>
      </c>
      <c r="C427" s="5">
        <v>41976</v>
      </c>
      <c r="D427" s="139" t="s">
        <v>894</v>
      </c>
      <c r="E427" s="8">
        <v>-60.701737834000006</v>
      </c>
      <c r="F427" s="8">
        <v>4.0000000000000001E-3</v>
      </c>
      <c r="G427" s="8">
        <v>-199.04664312200001</v>
      </c>
      <c r="H427" s="8">
        <v>2.1000000000000001E-2</v>
      </c>
      <c r="I427" s="8">
        <v>3.2329356833160627</v>
      </c>
      <c r="J427" s="8">
        <v>0.22788778546026187</v>
      </c>
      <c r="K427" s="8">
        <v>0.48935904167235478</v>
      </c>
      <c r="L427" s="8">
        <v>0.63912789896957778</v>
      </c>
      <c r="M427" s="139"/>
      <c r="N427" s="61">
        <v>12</v>
      </c>
      <c r="O427" s="61">
        <v>32</v>
      </c>
    </row>
    <row r="428" spans="1:24" ht="11.25" customHeight="1" x14ac:dyDescent="0.2">
      <c r="A428" s="56">
        <v>2601</v>
      </c>
      <c r="B428" s="61">
        <v>767</v>
      </c>
      <c r="C428" s="5">
        <v>41977</v>
      </c>
      <c r="D428" s="139" t="s">
        <v>899</v>
      </c>
      <c r="E428" s="8">
        <v>-34.861291146999996</v>
      </c>
      <c r="F428" s="8">
        <v>4.0000000000000001E-3</v>
      </c>
      <c r="G428" s="8">
        <v>-142.77078837400001</v>
      </c>
      <c r="H428" s="8">
        <v>1.9E-2</v>
      </c>
      <c r="I428" s="8">
        <v>3.2861458564381607</v>
      </c>
      <c r="J428" s="8">
        <v>0.21796595795486984</v>
      </c>
      <c r="K428" s="8">
        <v>5.6730411800240965</v>
      </c>
      <c r="L428" s="8">
        <v>0.51919263005960892</v>
      </c>
      <c r="M428" s="139"/>
      <c r="N428" s="61">
        <v>11</v>
      </c>
      <c r="O428" s="61">
        <v>36</v>
      </c>
    </row>
    <row r="429" spans="1:24" ht="11.25" customHeight="1" x14ac:dyDescent="0.2">
      <c r="A429" s="56">
        <v>2603</v>
      </c>
      <c r="B429" s="61">
        <v>768</v>
      </c>
      <c r="C429" s="5">
        <v>41978</v>
      </c>
      <c r="D429" s="139" t="s">
        <v>901</v>
      </c>
      <c r="E429" s="8">
        <v>-36.907486902999999</v>
      </c>
      <c r="F429" s="8">
        <v>5.0000000000000001E-3</v>
      </c>
      <c r="G429" s="8">
        <v>-162.98463280999999</v>
      </c>
      <c r="H429" s="8">
        <v>2.3E-2</v>
      </c>
      <c r="I429" s="8">
        <v>5.7361870978469565</v>
      </c>
      <c r="J429" s="8">
        <v>0.24543007151134344</v>
      </c>
      <c r="K429" s="8">
        <v>13.222225828920076</v>
      </c>
      <c r="L429" s="8">
        <v>0.64687694407686835</v>
      </c>
      <c r="M429" s="139"/>
      <c r="N429" s="61">
        <v>14</v>
      </c>
      <c r="O429" s="61">
        <v>33</v>
      </c>
    </row>
    <row r="430" spans="1:24" ht="11.25" customHeight="1" x14ac:dyDescent="0.2">
      <c r="A430" s="56">
        <v>2605</v>
      </c>
      <c r="B430" s="61">
        <v>769</v>
      </c>
      <c r="C430" s="5">
        <v>41979</v>
      </c>
      <c r="D430" s="139" t="s">
        <v>900</v>
      </c>
      <c r="E430" s="8">
        <v>-69.058000539999995</v>
      </c>
      <c r="F430" s="8">
        <v>8.9999999999999993E-3</v>
      </c>
      <c r="G430" s="8">
        <v>-190.52133850300001</v>
      </c>
      <c r="H430" s="8">
        <v>2.5000000000000001E-2</v>
      </c>
      <c r="I430" s="8">
        <v>6.8877742424693356</v>
      </c>
      <c r="J430" s="8">
        <v>0.34417575091924124</v>
      </c>
      <c r="K430" s="8">
        <v>15.575958527464406</v>
      </c>
      <c r="L430" s="8">
        <v>0.67836609147966953</v>
      </c>
      <c r="M430" s="139"/>
      <c r="N430" s="61">
        <v>6</v>
      </c>
      <c r="O430" s="61">
        <v>36</v>
      </c>
    </row>
    <row r="431" spans="1:24" ht="11.25" customHeight="1" x14ac:dyDescent="0.2">
      <c r="A431" s="56">
        <v>2608</v>
      </c>
      <c r="B431" s="61">
        <v>770</v>
      </c>
      <c r="C431" s="5">
        <v>41981</v>
      </c>
      <c r="D431" s="139" t="s">
        <v>903</v>
      </c>
      <c r="E431" s="8">
        <v>-34.931617083999996</v>
      </c>
      <c r="F431" s="8">
        <v>6.0000000000000001E-3</v>
      </c>
      <c r="G431" s="8">
        <v>-144.02874359700002</v>
      </c>
      <c r="H431" s="8">
        <v>0.02</v>
      </c>
      <c r="I431" s="8">
        <v>3.7179053817095742</v>
      </c>
      <c r="J431" s="8">
        <v>0.21409307497909616</v>
      </c>
      <c r="K431" s="8">
        <v>6.173245876031519</v>
      </c>
      <c r="L431" s="8">
        <v>0.59126613624275182</v>
      </c>
      <c r="M431" s="139"/>
      <c r="N431" s="61">
        <v>11</v>
      </c>
      <c r="O431" s="61">
        <v>33</v>
      </c>
    </row>
    <row r="432" spans="1:24" ht="11.25" customHeight="1" x14ac:dyDescent="0.2">
      <c r="A432" s="56">
        <v>2610</v>
      </c>
      <c r="B432" s="61">
        <v>771</v>
      </c>
      <c r="C432" s="5">
        <v>41982</v>
      </c>
      <c r="D432" s="139" t="s">
        <v>904</v>
      </c>
      <c r="E432" s="8">
        <v>-69.081121396</v>
      </c>
      <c r="F432" s="8">
        <v>4.0000000000000001E-3</v>
      </c>
      <c r="G432" s="8">
        <v>-188.11833353700001</v>
      </c>
      <c r="H432" s="8">
        <v>2.4E-2</v>
      </c>
      <c r="I432" s="8">
        <v>7.0830393954575133</v>
      </c>
      <c r="J432" s="8">
        <v>0.14785056103660391</v>
      </c>
      <c r="K432" s="8">
        <v>14.187821164188819</v>
      </c>
      <c r="L432" s="8">
        <v>0.70411583342116424</v>
      </c>
      <c r="M432" s="139"/>
      <c r="N432" s="61">
        <v>19</v>
      </c>
      <c r="O432" s="61">
        <v>39</v>
      </c>
    </row>
    <row r="433" spans="1:24" ht="11.25" customHeight="1" x14ac:dyDescent="0.2">
      <c r="A433" s="56">
        <v>2613</v>
      </c>
      <c r="B433" s="61">
        <v>771</v>
      </c>
      <c r="C433" s="5">
        <v>41986</v>
      </c>
      <c r="D433" s="139" t="s">
        <v>905</v>
      </c>
      <c r="E433" s="8">
        <v>-39.708000586000004</v>
      </c>
      <c r="F433" s="8">
        <v>0.01</v>
      </c>
      <c r="G433" s="8">
        <v>-167.292917751</v>
      </c>
      <c r="H433" s="8">
        <v>3.3000000000000002E-2</v>
      </c>
      <c r="I433" s="8">
        <v>10.7537214078397</v>
      </c>
      <c r="J433" s="8">
        <v>0.26025280838983844</v>
      </c>
      <c r="K433" s="8">
        <v>13.954994809286969</v>
      </c>
      <c r="L433" s="8">
        <v>0.88713723682754175</v>
      </c>
      <c r="M433" s="139" t="s">
        <v>862</v>
      </c>
      <c r="N433" s="61">
        <v>8</v>
      </c>
      <c r="O433" s="61">
        <v>20</v>
      </c>
    </row>
    <row r="434" spans="1:24" ht="11.25" customHeight="1" x14ac:dyDescent="0.2">
      <c r="A434" s="56">
        <v>2615</v>
      </c>
      <c r="B434" s="61">
        <v>777</v>
      </c>
      <c r="C434" s="5">
        <v>41989</v>
      </c>
      <c r="D434" s="139" t="s">
        <v>907</v>
      </c>
      <c r="E434" s="8">
        <v>-22.297996017999999</v>
      </c>
      <c r="F434" s="8">
        <v>7.0000000000000001E-3</v>
      </c>
      <c r="G434" s="8">
        <v>-325.56758313099999</v>
      </c>
      <c r="H434" s="8">
        <v>3.2000000000000001E-2</v>
      </c>
      <c r="I434" s="8">
        <v>-2.290624847310907</v>
      </c>
      <c r="J434" s="8">
        <v>0.20569191140450421</v>
      </c>
      <c r="K434" s="8">
        <v>-32.843623134528933</v>
      </c>
      <c r="L434" s="8">
        <v>1.0519760114929502</v>
      </c>
      <c r="M434" s="139" t="s">
        <v>906</v>
      </c>
      <c r="N434" s="61">
        <v>10</v>
      </c>
      <c r="O434" s="61">
        <v>22</v>
      </c>
    </row>
    <row r="435" spans="1:24" ht="11.25" customHeight="1" x14ac:dyDescent="0.2">
      <c r="A435" s="56">
        <v>2617</v>
      </c>
      <c r="B435" s="61">
        <v>778</v>
      </c>
      <c r="C435" s="5">
        <v>41990</v>
      </c>
      <c r="D435" s="139" t="s">
        <v>909</v>
      </c>
      <c r="E435" s="8">
        <v>-38.380478104000005</v>
      </c>
      <c r="F435" s="8">
        <v>8.9999999999999993E-3</v>
      </c>
      <c r="G435" s="8">
        <v>-293.76116853600001</v>
      </c>
      <c r="H435" s="8">
        <v>3.3000000000000002E-2</v>
      </c>
      <c r="I435" s="8">
        <v>-0.62537246422844639</v>
      </c>
      <c r="J435" s="8">
        <v>0.3459279109238711</v>
      </c>
      <c r="K435" s="8">
        <v>-22.037477433054285</v>
      </c>
      <c r="L435" s="8">
        <v>1.0199646966434242</v>
      </c>
      <c r="M435" s="139" t="s">
        <v>908</v>
      </c>
      <c r="N435" s="61">
        <v>10</v>
      </c>
      <c r="O435" s="61">
        <v>24</v>
      </c>
    </row>
    <row r="436" spans="1:24" s="49" customFormat="1" x14ac:dyDescent="0.2">
      <c r="A436" s="67"/>
      <c r="B436" s="67"/>
      <c r="C436" s="35"/>
      <c r="D436" s="161" t="s">
        <v>910</v>
      </c>
      <c r="E436" s="82"/>
      <c r="F436" s="82"/>
      <c r="G436" s="82"/>
      <c r="H436" s="82"/>
      <c r="I436" s="82"/>
      <c r="J436" s="82"/>
      <c r="K436" s="82"/>
      <c r="L436" s="82"/>
      <c r="M436" s="161"/>
      <c r="N436" s="67"/>
      <c r="O436" s="67"/>
      <c r="P436" s="82"/>
      <c r="Q436" s="82"/>
      <c r="R436" s="82"/>
      <c r="S436" s="82"/>
      <c r="T436" s="82"/>
      <c r="U436" s="82"/>
      <c r="V436" s="161"/>
      <c r="W436" s="126"/>
      <c r="X436" s="126"/>
    </row>
    <row r="437" spans="1:24" ht="13.5" customHeight="1" x14ac:dyDescent="0.2">
      <c r="A437" s="66">
        <v>2633</v>
      </c>
      <c r="B437" s="78">
        <v>785</v>
      </c>
      <c r="C437" s="37">
        <v>42018</v>
      </c>
      <c r="D437" s="158" t="s">
        <v>824</v>
      </c>
      <c r="E437" s="51">
        <v>-25.476150349000001</v>
      </c>
      <c r="F437" s="51">
        <v>5.0000000000000001E-3</v>
      </c>
      <c r="G437" s="51">
        <v>-153.76401861000002</v>
      </c>
      <c r="H437" s="38">
        <v>3.3000000000000002E-2</v>
      </c>
      <c r="I437" s="38">
        <v>2.8872630930565357</v>
      </c>
      <c r="J437" s="38">
        <v>0.22944125462854942</v>
      </c>
      <c r="K437" s="38">
        <v>7.1611681661194471</v>
      </c>
      <c r="L437" s="38">
        <v>1.0006220486807551</v>
      </c>
      <c r="M437" s="139" t="s">
        <v>908</v>
      </c>
      <c r="N437" s="61">
        <v>6</v>
      </c>
      <c r="O437" s="61">
        <v>24</v>
      </c>
    </row>
    <row r="438" spans="1:24" ht="11.25" customHeight="1" x14ac:dyDescent="0.2">
      <c r="A438" s="56">
        <v>2637</v>
      </c>
      <c r="B438" s="61">
        <v>786</v>
      </c>
      <c r="C438" s="5">
        <v>42018</v>
      </c>
      <c r="D438" s="139" t="s">
        <v>911</v>
      </c>
      <c r="E438" s="8">
        <v>-16.955151544</v>
      </c>
      <c r="F438" s="8">
        <v>7.0000000000000001E-3</v>
      </c>
      <c r="G438" s="8">
        <v>-98.06680444700001</v>
      </c>
      <c r="H438" s="8">
        <v>3.7999999999999999E-2</v>
      </c>
      <c r="I438" s="8">
        <v>1.2886308659614265</v>
      </c>
      <c r="J438" s="8">
        <v>0.23251113312749808</v>
      </c>
      <c r="K438" s="8">
        <v>1.7400721510354433</v>
      </c>
      <c r="L438" s="8">
        <v>0.9863494129159569</v>
      </c>
      <c r="M438" s="139" t="s">
        <v>908</v>
      </c>
      <c r="N438" s="61">
        <v>10</v>
      </c>
      <c r="O438" s="61">
        <v>26</v>
      </c>
    </row>
    <row r="439" spans="1:24" ht="11.25" customHeight="1" x14ac:dyDescent="0.2">
      <c r="A439" s="56">
        <v>2639</v>
      </c>
      <c r="B439" s="61">
        <v>787</v>
      </c>
      <c r="C439" s="5">
        <v>42020</v>
      </c>
      <c r="D439" s="139" t="s">
        <v>913</v>
      </c>
      <c r="E439" s="8">
        <v>-16.713345924999999</v>
      </c>
      <c r="F439" s="8">
        <v>0.01</v>
      </c>
      <c r="G439" s="8">
        <v>-98.058336535999999</v>
      </c>
      <c r="H439" s="8">
        <v>3.2000000000000001E-2</v>
      </c>
      <c r="I439" s="8">
        <v>1.5818348818261718</v>
      </c>
      <c r="J439" s="8">
        <v>0.24977583787272653</v>
      </c>
      <c r="K439" s="8">
        <v>2.7487525564473536</v>
      </c>
      <c r="L439" s="8">
        <v>0.75396201891314096</v>
      </c>
      <c r="M439" s="139" t="s">
        <v>908</v>
      </c>
      <c r="N439" s="61">
        <v>8</v>
      </c>
      <c r="O439" s="61">
        <v>30</v>
      </c>
    </row>
    <row r="440" spans="1:24" ht="11.25" customHeight="1" x14ac:dyDescent="0.2">
      <c r="A440" s="56">
        <v>2641</v>
      </c>
      <c r="B440" s="61">
        <v>788</v>
      </c>
      <c r="C440" s="5">
        <v>42021</v>
      </c>
      <c r="D440" s="139" t="s">
        <v>912</v>
      </c>
      <c r="E440" s="8">
        <v>-10.796333527</v>
      </c>
      <c r="F440" s="8">
        <v>5.0000000000000001E-3</v>
      </c>
      <c r="G440" s="8">
        <v>-127.11173917700002</v>
      </c>
      <c r="H440" s="8">
        <v>3.2000000000000001E-2</v>
      </c>
      <c r="I440" s="8">
        <v>1.8853440528494581</v>
      </c>
      <c r="J440" s="8">
        <v>0.16846389279476387</v>
      </c>
      <c r="K440" s="8">
        <v>10.734286489712419</v>
      </c>
      <c r="L440" s="8">
        <v>0.9234075805943357</v>
      </c>
      <c r="M440" s="139" t="s">
        <v>908</v>
      </c>
      <c r="N440" s="61">
        <v>17</v>
      </c>
      <c r="O440" s="61">
        <v>26</v>
      </c>
    </row>
    <row r="441" spans="1:24" ht="11.25" customHeight="1" x14ac:dyDescent="0.2">
      <c r="A441" s="56">
        <v>2643</v>
      </c>
      <c r="B441" s="61">
        <v>789</v>
      </c>
      <c r="C441" s="5">
        <v>42024</v>
      </c>
      <c r="D441" s="139" t="s">
        <v>914</v>
      </c>
      <c r="E441" s="8">
        <v>-17.034147802000003</v>
      </c>
      <c r="F441" s="8">
        <v>8.9999999999999993E-3</v>
      </c>
      <c r="G441" s="8">
        <v>-98.487377360000011</v>
      </c>
      <c r="H441" s="8">
        <v>2.4E-2</v>
      </c>
      <c r="I441" s="8">
        <v>1.2051534584003321</v>
      </c>
      <c r="J441" s="8">
        <v>0.20730672070628253</v>
      </c>
      <c r="K441" s="8">
        <v>3.4857550857265718</v>
      </c>
      <c r="L441" s="8">
        <v>0.80265436211211849</v>
      </c>
      <c r="M441" s="139" t="s">
        <v>908</v>
      </c>
      <c r="N441" s="61">
        <v>14</v>
      </c>
      <c r="O441" s="61">
        <v>27</v>
      </c>
    </row>
    <row r="442" spans="1:24" ht="11.25" customHeight="1" x14ac:dyDescent="0.2">
      <c r="A442" s="56">
        <v>2645</v>
      </c>
      <c r="B442" s="61">
        <v>790</v>
      </c>
      <c r="C442" s="5">
        <v>42025</v>
      </c>
      <c r="D442" s="139" t="s">
        <v>915</v>
      </c>
      <c r="E442" s="8">
        <v>-12.027519108999998</v>
      </c>
      <c r="F442" s="8">
        <v>5.0000000000000001E-3</v>
      </c>
      <c r="G442" s="8">
        <v>-100.72196498500001</v>
      </c>
      <c r="H442" s="8">
        <v>0.03</v>
      </c>
      <c r="I442" s="8">
        <v>0.99502143403640275</v>
      </c>
      <c r="J442" s="8">
        <v>0.17833257616302367</v>
      </c>
      <c r="K442" s="8">
        <v>2.9424911968005674</v>
      </c>
      <c r="L442" s="8">
        <v>0.73833634370837564</v>
      </c>
      <c r="M442" s="139" t="s">
        <v>908</v>
      </c>
      <c r="N442" s="61">
        <v>14</v>
      </c>
      <c r="O442" s="61">
        <v>27</v>
      </c>
    </row>
    <row r="443" spans="1:24" ht="11.25" customHeight="1" x14ac:dyDescent="0.2">
      <c r="A443" s="56">
        <v>2648</v>
      </c>
      <c r="B443" s="61">
        <v>791</v>
      </c>
      <c r="C443" s="5">
        <v>42026</v>
      </c>
      <c r="D443" s="139" t="s">
        <v>916</v>
      </c>
      <c r="E443" s="8">
        <v>-13.473535977999999</v>
      </c>
      <c r="F443" s="8">
        <v>0.02</v>
      </c>
      <c r="G443" s="8">
        <v>-101.624267946</v>
      </c>
      <c r="H443" s="8">
        <v>5.1999999999999998E-2</v>
      </c>
      <c r="I443" s="8">
        <v>3.8914761451915858</v>
      </c>
      <c r="J443" s="8">
        <v>0.30423167400667239</v>
      </c>
      <c r="K443" s="8">
        <v>8.3117323476658012</v>
      </c>
      <c r="L443" s="8">
        <v>0.96681577877427327</v>
      </c>
      <c r="M443" s="139" t="s">
        <v>908</v>
      </c>
      <c r="N443" s="61">
        <v>14</v>
      </c>
      <c r="O443" s="61">
        <v>22</v>
      </c>
    </row>
    <row r="444" spans="1:24" s="49" customFormat="1" x14ac:dyDescent="0.2">
      <c r="A444" s="67"/>
      <c r="B444" s="67"/>
      <c r="C444" s="35"/>
      <c r="D444" s="161" t="s">
        <v>917</v>
      </c>
      <c r="E444" s="82"/>
      <c r="F444" s="82"/>
      <c r="G444" s="82"/>
      <c r="H444" s="82"/>
      <c r="I444" s="82"/>
      <c r="J444" s="82"/>
      <c r="K444" s="82"/>
      <c r="L444" s="82"/>
      <c r="M444" s="161"/>
      <c r="N444" s="67"/>
      <c r="O444" s="67"/>
      <c r="P444" s="82"/>
      <c r="Q444" s="82"/>
      <c r="R444" s="82"/>
      <c r="S444" s="82"/>
      <c r="T444" s="82"/>
      <c r="U444" s="82"/>
      <c r="V444" s="161"/>
      <c r="W444" s="126"/>
      <c r="X444" s="126"/>
    </row>
    <row r="445" spans="1:24" ht="13.5" customHeight="1" x14ac:dyDescent="0.2">
      <c r="A445" s="66">
        <v>2650</v>
      </c>
      <c r="B445" s="78">
        <v>793</v>
      </c>
      <c r="C445" s="37">
        <v>42042</v>
      </c>
      <c r="D445" s="158" t="s">
        <v>824</v>
      </c>
      <c r="E445" s="51">
        <v>-25.422201685000001</v>
      </c>
      <c r="F445" s="51">
        <v>4.0000000000000001E-3</v>
      </c>
      <c r="G445" s="51">
        <v>-154.65220838600001</v>
      </c>
      <c r="H445" s="38">
        <v>2.1999999999999999E-2</v>
      </c>
      <c r="I445" s="38">
        <v>4.5499268867796872</v>
      </c>
      <c r="J445" s="38">
        <v>0.14409712014847081</v>
      </c>
      <c r="K445" s="38">
        <v>9.9866788856926014</v>
      </c>
      <c r="L445" s="38">
        <v>0.66540721243325485</v>
      </c>
      <c r="M445" s="139"/>
      <c r="N445" s="61">
        <v>20</v>
      </c>
      <c r="O445" s="61">
        <v>37</v>
      </c>
    </row>
    <row r="446" spans="1:24" ht="13.5" customHeight="1" x14ac:dyDescent="0.2">
      <c r="A446" s="66">
        <v>2652</v>
      </c>
      <c r="B446" s="78">
        <v>793</v>
      </c>
      <c r="C446" s="37">
        <v>42043</v>
      </c>
      <c r="D446" s="158" t="s">
        <v>919</v>
      </c>
      <c r="E446" s="51">
        <v>-25.244941788999999</v>
      </c>
      <c r="F446" s="51">
        <v>8.9999999999999993E-3</v>
      </c>
      <c r="G446" s="51">
        <v>-154.65220838600001</v>
      </c>
      <c r="H446" s="38">
        <v>2.1999999999999999E-2</v>
      </c>
      <c r="I446" s="38">
        <v>5.1647532581937661</v>
      </c>
      <c r="J446" s="38">
        <v>0.26</v>
      </c>
      <c r="K446" s="38"/>
      <c r="L446" s="38"/>
      <c r="M446" s="139"/>
      <c r="N446" s="61">
        <v>5</v>
      </c>
      <c r="O446" s="61"/>
    </row>
    <row r="447" spans="1:24" ht="13.5" customHeight="1" x14ac:dyDescent="0.2">
      <c r="A447" s="66">
        <v>2653</v>
      </c>
      <c r="B447" s="78">
        <v>793</v>
      </c>
      <c r="C447" s="37">
        <v>42045</v>
      </c>
      <c r="D447" s="158" t="s">
        <v>918</v>
      </c>
      <c r="E447" s="51">
        <v>-25.195809970000003</v>
      </c>
      <c r="F447" s="51">
        <v>1.0999999999999999E-2</v>
      </c>
      <c r="G447" s="51">
        <v>-154.65220838600001</v>
      </c>
      <c r="H447" s="38">
        <v>2.1999999999999999E-2</v>
      </c>
      <c r="I447" s="38">
        <v>5.4374767331077933</v>
      </c>
      <c r="J447" s="38">
        <v>0.32012101536448334</v>
      </c>
      <c r="K447" s="38"/>
      <c r="L447" s="38"/>
      <c r="M447" s="139"/>
      <c r="N447" s="61">
        <v>5</v>
      </c>
      <c r="O447" s="61"/>
      <c r="V447" s="160" t="s">
        <v>920</v>
      </c>
    </row>
    <row r="448" spans="1:24" ht="13.5" customHeight="1" x14ac:dyDescent="0.2">
      <c r="A448" s="66">
        <v>2654</v>
      </c>
      <c r="B448" s="78">
        <v>794</v>
      </c>
      <c r="C448" s="37">
        <v>42046</v>
      </c>
      <c r="D448" s="158" t="s">
        <v>824</v>
      </c>
      <c r="E448" s="51">
        <v>-25.717955968000002</v>
      </c>
      <c r="F448" s="51">
        <v>5.0000000000000001E-3</v>
      </c>
      <c r="G448" s="51">
        <v>-154.19211855500001</v>
      </c>
      <c r="H448" s="38">
        <v>2.4E-2</v>
      </c>
      <c r="I448" s="38">
        <v>3.5174055112643376</v>
      </c>
      <c r="J448" s="38">
        <v>0.17048250753177677</v>
      </c>
      <c r="K448" s="38">
        <v>10.523941263152592</v>
      </c>
      <c r="L448" s="38">
        <v>0.66102438697822519</v>
      </c>
      <c r="M448" s="139" t="s">
        <v>908</v>
      </c>
      <c r="N448" s="61">
        <v>17</v>
      </c>
      <c r="O448" s="61">
        <v>33</v>
      </c>
    </row>
    <row r="449" spans="1:24" ht="11.25" customHeight="1" x14ac:dyDescent="0.2">
      <c r="A449" s="56">
        <v>2657</v>
      </c>
      <c r="B449" s="61">
        <v>795</v>
      </c>
      <c r="C449" s="5">
        <v>42047</v>
      </c>
      <c r="D449" s="139" t="s">
        <v>824</v>
      </c>
      <c r="E449" s="8">
        <v>-25.631252758000002</v>
      </c>
      <c r="F449" s="8">
        <v>5.0000000000000001E-3</v>
      </c>
      <c r="G449" s="8">
        <v>-154.66914420800001</v>
      </c>
      <c r="H449" s="8">
        <v>2.1999999999999999E-2</v>
      </c>
      <c r="I449" s="8">
        <v>3.9734406670495215</v>
      </c>
      <c r="J449" s="8">
        <v>0.24777658195256061</v>
      </c>
      <c r="K449" s="8">
        <v>8.768309432303445</v>
      </c>
      <c r="L449" s="8">
        <v>0.66377924887973871</v>
      </c>
      <c r="M449" s="139" t="s">
        <v>908</v>
      </c>
      <c r="N449" s="61">
        <v>17</v>
      </c>
      <c r="O449" s="61">
        <v>33</v>
      </c>
    </row>
    <row r="450" spans="1:24" ht="11.25" customHeight="1" x14ac:dyDescent="0.2">
      <c r="A450" s="56">
        <v>2657</v>
      </c>
      <c r="B450" s="61">
        <v>796</v>
      </c>
      <c r="C450" s="5">
        <v>42047</v>
      </c>
      <c r="D450" s="139" t="s">
        <v>824</v>
      </c>
      <c r="E450" s="8">
        <v>-25.643776554999999</v>
      </c>
      <c r="F450" s="8">
        <v>6.0000000000000001E-3</v>
      </c>
      <c r="G450" s="8">
        <v>-154.57787894499998</v>
      </c>
      <c r="H450" s="8">
        <v>2.4E-2</v>
      </c>
      <c r="I450" s="8">
        <v>4.2322783344088677</v>
      </c>
      <c r="J450" s="8">
        <v>0.14242125670617026</v>
      </c>
      <c r="K450" s="8">
        <v>9.7373141052354839</v>
      </c>
      <c r="L450" s="8">
        <v>0.6584667077817391</v>
      </c>
      <c r="M450" s="139" t="s">
        <v>908</v>
      </c>
      <c r="N450" s="61">
        <v>17</v>
      </c>
      <c r="O450" s="61">
        <v>33</v>
      </c>
    </row>
    <row r="451" spans="1:24" ht="11.25" customHeight="1" x14ac:dyDescent="0.2">
      <c r="A451" s="56">
        <v>2664</v>
      </c>
      <c r="B451" s="61">
        <v>797</v>
      </c>
      <c r="C451" s="5">
        <v>42055</v>
      </c>
      <c r="D451" s="139" t="s">
        <v>921</v>
      </c>
      <c r="E451" s="8">
        <v>-36.079952931999998</v>
      </c>
      <c r="F451" s="8">
        <v>1.0999999999999999E-2</v>
      </c>
      <c r="G451" s="8">
        <v>-60.102336797</v>
      </c>
      <c r="H451" s="8">
        <v>2.3E-2</v>
      </c>
      <c r="I451" s="8">
        <v>2.8170137829162112</v>
      </c>
      <c r="J451" s="8">
        <v>0.17298319531848702</v>
      </c>
      <c r="K451" s="8">
        <v>-0.92489836134679315</v>
      </c>
      <c r="L451" s="8">
        <v>0.5675770104846618</v>
      </c>
      <c r="M451" s="139" t="s">
        <v>908</v>
      </c>
      <c r="N451" s="61">
        <v>14</v>
      </c>
      <c r="O451" s="61">
        <v>38</v>
      </c>
    </row>
    <row r="452" spans="1:24" ht="11.25" customHeight="1" x14ac:dyDescent="0.2">
      <c r="A452" s="56">
        <v>2666</v>
      </c>
      <c r="B452" s="61">
        <v>797</v>
      </c>
      <c r="C452" s="5">
        <v>42055</v>
      </c>
      <c r="D452" s="139" t="s">
        <v>923</v>
      </c>
      <c r="E452" s="8">
        <v>-36.098256943000003</v>
      </c>
      <c r="F452" s="8">
        <v>1.6E-2</v>
      </c>
      <c r="G452" s="8">
        <v>-57.628765906000005</v>
      </c>
      <c r="H452" s="8">
        <v>9.8000000000000004E-2</v>
      </c>
      <c r="I452" s="8">
        <v>0.31753205160667264</v>
      </c>
      <c r="J452" s="8">
        <v>0.5312223484542643</v>
      </c>
      <c r="K452" s="8">
        <v>-4.11506068513523</v>
      </c>
      <c r="L452" s="8">
        <v>2.4251817944380627</v>
      </c>
      <c r="M452" s="139" t="s">
        <v>908</v>
      </c>
      <c r="N452" s="61">
        <v>2</v>
      </c>
      <c r="O452" s="61">
        <v>3</v>
      </c>
    </row>
    <row r="453" spans="1:24" ht="11.25" customHeight="1" x14ac:dyDescent="0.2">
      <c r="A453" s="56">
        <v>2668</v>
      </c>
      <c r="B453" s="61">
        <v>798</v>
      </c>
      <c r="C453" s="5">
        <v>42055</v>
      </c>
      <c r="D453" s="139" t="s">
        <v>922</v>
      </c>
      <c r="E453" s="8">
        <v>-37.056809098000002</v>
      </c>
      <c r="F453" s="8">
        <v>1.4E-2</v>
      </c>
      <c r="G453" s="8">
        <v>-59.262131850000003</v>
      </c>
      <c r="H453" s="8">
        <v>7.0000000000000007E-2</v>
      </c>
      <c r="I453" s="8">
        <v>-0.47325464318881405</v>
      </c>
      <c r="J453" s="8">
        <v>0.41837500381965759</v>
      </c>
      <c r="K453" s="8">
        <v>-1.6502889769716145</v>
      </c>
      <c r="L453" s="8">
        <v>1.7250495505609547</v>
      </c>
      <c r="M453" s="139" t="s">
        <v>908</v>
      </c>
      <c r="N453" s="61">
        <v>2</v>
      </c>
      <c r="O453" s="61">
        <v>3</v>
      </c>
    </row>
    <row r="454" spans="1:24" ht="11.25" customHeight="1" x14ac:dyDescent="0.2">
      <c r="A454" s="56">
        <v>2671</v>
      </c>
      <c r="B454" s="61">
        <v>799</v>
      </c>
      <c r="C454" s="5">
        <v>42055</v>
      </c>
      <c r="D454" s="139" t="s">
        <v>924</v>
      </c>
      <c r="E454" s="8">
        <v>-36.642560428000003</v>
      </c>
      <c r="F454" s="8">
        <v>1.4E-2</v>
      </c>
      <c r="G454" s="8">
        <v>-58.843440694999998</v>
      </c>
      <c r="H454" s="8">
        <v>4.7E-2</v>
      </c>
      <c r="I454" s="8">
        <v>1.0028094032015211</v>
      </c>
      <c r="J454" s="8">
        <v>0.56995562421233625</v>
      </c>
      <c r="K454" s="8">
        <v>-3.9493414950050321</v>
      </c>
      <c r="L454" s="8">
        <v>0.9048920567700981</v>
      </c>
      <c r="M454" s="139" t="s">
        <v>908</v>
      </c>
      <c r="N454" s="61">
        <v>5</v>
      </c>
      <c r="O454" s="61">
        <v>23</v>
      </c>
    </row>
    <row r="455" spans="1:24" ht="11.25" customHeight="1" x14ac:dyDescent="0.2">
      <c r="A455" s="56">
        <v>2674</v>
      </c>
      <c r="B455" s="61">
        <v>800</v>
      </c>
      <c r="C455" s="5">
        <v>42060</v>
      </c>
      <c r="D455" s="139" t="s">
        <v>925</v>
      </c>
      <c r="E455" s="8">
        <v>-36.603062298999994</v>
      </c>
      <c r="F455" s="8">
        <v>1.2999999999999999E-2</v>
      </c>
      <c r="G455" s="8">
        <v>-59.131349669000002</v>
      </c>
      <c r="H455" s="8">
        <v>4.5999999999999999E-2</v>
      </c>
      <c r="I455" s="8">
        <v>-0.47289993136578889</v>
      </c>
      <c r="J455" s="8">
        <v>0.33739392021472786</v>
      </c>
      <c r="K455" s="8">
        <v>-1.2413757354067245</v>
      </c>
      <c r="L455" s="8">
        <v>1.1072286628102241</v>
      </c>
      <c r="M455" s="139" t="s">
        <v>908</v>
      </c>
      <c r="N455" s="61">
        <v>3</v>
      </c>
      <c r="O455" s="61">
        <v>5</v>
      </c>
    </row>
    <row r="456" spans="1:24" ht="11.25" customHeight="1" x14ac:dyDescent="0.2">
      <c r="A456" s="56">
        <v>2676</v>
      </c>
      <c r="B456" s="61">
        <v>801</v>
      </c>
      <c r="C456" s="5">
        <v>42060</v>
      </c>
      <c r="D456" s="139" t="s">
        <v>926</v>
      </c>
      <c r="E456" s="8">
        <v>-36.734080483</v>
      </c>
      <c r="F456" s="8">
        <v>1.6E-2</v>
      </c>
      <c r="G456" s="8">
        <v>-59.507701269000002</v>
      </c>
      <c r="H456" s="8">
        <v>1.9E-2</v>
      </c>
      <c r="I456" s="8">
        <v>0.3702387488597747</v>
      </c>
      <c r="J456" s="8">
        <v>0.31015741480310022</v>
      </c>
      <c r="K456" s="8">
        <v>-0.81587368621960366</v>
      </c>
      <c r="L456" s="8">
        <v>0.57520310507966554</v>
      </c>
      <c r="M456" s="139" t="s">
        <v>908</v>
      </c>
      <c r="N456" s="61">
        <v>3</v>
      </c>
      <c r="O456" s="61">
        <v>27</v>
      </c>
    </row>
    <row r="457" spans="1:24" s="49" customFormat="1" x14ac:dyDescent="0.2">
      <c r="A457" s="67"/>
      <c r="B457" s="67"/>
      <c r="C457" s="35"/>
      <c r="D457" s="161" t="s">
        <v>927</v>
      </c>
      <c r="E457" s="82"/>
      <c r="F457" s="82"/>
      <c r="G457" s="82"/>
      <c r="H457" s="82"/>
      <c r="I457" s="82"/>
      <c r="J457" s="82"/>
      <c r="K457" s="82"/>
      <c r="L457" s="82"/>
      <c r="M457" s="161"/>
      <c r="N457" s="67"/>
      <c r="O457" s="67"/>
      <c r="P457" s="82"/>
      <c r="Q457" s="82"/>
      <c r="R457" s="82"/>
      <c r="S457" s="82"/>
      <c r="T457" s="82"/>
      <c r="U457" s="82"/>
      <c r="V457" s="161"/>
      <c r="W457" s="126"/>
      <c r="X457" s="126"/>
    </row>
    <row r="458" spans="1:24" ht="11.25" customHeight="1" x14ac:dyDescent="0.2">
      <c r="A458" s="56">
        <v>2687</v>
      </c>
      <c r="B458" s="61">
        <v>813</v>
      </c>
      <c r="C458" s="5">
        <v>42060</v>
      </c>
      <c r="D458" s="139" t="s">
        <v>931</v>
      </c>
      <c r="E458" s="8">
        <v>-100.213354</v>
      </c>
      <c r="F458" s="8">
        <v>8.9999999999999993E-3</v>
      </c>
      <c r="G458" s="8">
        <v>-106.07462561600001</v>
      </c>
      <c r="H458" s="8">
        <v>4.8000000000000001E-2</v>
      </c>
      <c r="I458" s="8">
        <v>0.71843143192662495</v>
      </c>
      <c r="J458" s="8">
        <v>0.38435377148353111</v>
      </c>
      <c r="K458" s="8">
        <v>5.1901200631088162</v>
      </c>
      <c r="L458" s="8">
        <v>1.1353117069085461</v>
      </c>
      <c r="M458" s="139" t="s">
        <v>929</v>
      </c>
      <c r="N458" s="61"/>
      <c r="O458" s="61"/>
    </row>
    <row r="459" spans="1:24" ht="11.25" customHeight="1" x14ac:dyDescent="0.2">
      <c r="A459" s="56">
        <v>2690</v>
      </c>
      <c r="B459" s="61">
        <v>821</v>
      </c>
      <c r="C459" s="5">
        <v>42060</v>
      </c>
      <c r="D459" s="139" t="s">
        <v>930</v>
      </c>
      <c r="E459" s="8">
        <v>-100.38772378899999</v>
      </c>
      <c r="F459" s="8">
        <v>1.2E-2</v>
      </c>
      <c r="G459" s="8">
        <v>-319.26087119399995</v>
      </c>
      <c r="H459" s="8">
        <v>3.5000000000000003E-2</v>
      </c>
      <c r="I459" s="8">
        <v>0.93433409712928572</v>
      </c>
      <c r="J459" s="8">
        <v>0.34555332187642618</v>
      </c>
      <c r="K459" s="8">
        <v>-69.17652072266533</v>
      </c>
      <c r="L459" s="8">
        <v>1.1528215240982833</v>
      </c>
      <c r="M459" s="139"/>
      <c r="N459" s="61">
        <v>7</v>
      </c>
      <c r="O459" s="61">
        <v>25</v>
      </c>
    </row>
    <row r="460" spans="1:24" ht="11.25" customHeight="1" x14ac:dyDescent="0.2">
      <c r="A460" s="56">
        <v>2692</v>
      </c>
      <c r="B460" s="61">
        <v>829</v>
      </c>
      <c r="C460" s="5">
        <v>42060</v>
      </c>
      <c r="D460" s="139" t="s">
        <v>928</v>
      </c>
      <c r="E460" s="8">
        <v>-97.046760096999989</v>
      </c>
      <c r="F460" s="8">
        <v>6.0000000000000001E-3</v>
      </c>
      <c r="G460" s="8">
        <v>-249.0844701</v>
      </c>
      <c r="H460" s="8">
        <v>5.3999999999999999E-2</v>
      </c>
      <c r="I460" s="8">
        <v>0.2774752340723996</v>
      </c>
      <c r="J460" s="8">
        <v>0.313586962439796</v>
      </c>
      <c r="K460" s="8">
        <v>-14.900292851656616</v>
      </c>
      <c r="L460" s="8">
        <v>1.3278995189486316</v>
      </c>
      <c r="N460" s="61">
        <v>7</v>
      </c>
      <c r="O460" s="61">
        <v>0</v>
      </c>
    </row>
    <row r="461" spans="1:24" ht="11.25" customHeight="1" x14ac:dyDescent="0.2">
      <c r="A461" s="56">
        <v>2694</v>
      </c>
      <c r="B461" s="61">
        <v>835</v>
      </c>
      <c r="C461" s="5">
        <v>42060</v>
      </c>
      <c r="D461" s="139" t="s">
        <v>932</v>
      </c>
      <c r="E461" s="8">
        <v>-100.606408552</v>
      </c>
      <c r="F461" s="8">
        <v>7.0999999999999994E-2</v>
      </c>
      <c r="G461" s="8">
        <v>-104.58991855400001</v>
      </c>
      <c r="H461" s="8">
        <v>5.7000000000000002E-2</v>
      </c>
      <c r="I461" s="8">
        <v>-0.29043077867851874</v>
      </c>
      <c r="J461" s="8">
        <v>0.71342258893269417</v>
      </c>
      <c r="K461" s="8">
        <v>7.0610522403946607</v>
      </c>
      <c r="L461" s="8">
        <v>1.1019388683554261</v>
      </c>
      <c r="M461" s="139"/>
      <c r="N461" s="61">
        <v>7</v>
      </c>
      <c r="O461" s="61">
        <v>32</v>
      </c>
    </row>
    <row r="462" spans="1:24" ht="11.25" customHeight="1" x14ac:dyDescent="0.2">
      <c r="A462" s="56">
        <v>2701</v>
      </c>
      <c r="B462" s="61">
        <v>842</v>
      </c>
      <c r="C462" s="5">
        <v>42060</v>
      </c>
      <c r="D462" s="139" t="s">
        <v>933</v>
      </c>
      <c r="E462" s="8">
        <v>-98.950377240999998</v>
      </c>
      <c r="F462" s="8">
        <v>1.2999999999999999E-2</v>
      </c>
      <c r="G462" s="8">
        <v>-319.21570900199998</v>
      </c>
      <c r="H462" s="8">
        <v>3.5000000000000003E-2</v>
      </c>
      <c r="I462" s="8">
        <v>0.8509519412034372</v>
      </c>
      <c r="J462" s="8">
        <v>0.43586814226289289</v>
      </c>
      <c r="K462" s="8">
        <v>-68.097683972726202</v>
      </c>
      <c r="L462" s="8">
        <v>1.0614658305110303</v>
      </c>
      <c r="M462" s="139"/>
      <c r="N462" s="61">
        <v>4</v>
      </c>
      <c r="O462" s="61">
        <v>25</v>
      </c>
    </row>
    <row r="463" spans="1:24" ht="11.25" customHeight="1" x14ac:dyDescent="0.2">
      <c r="A463" s="56">
        <v>2703</v>
      </c>
      <c r="B463" s="61">
        <v>849</v>
      </c>
      <c r="C463" s="5">
        <v>42069</v>
      </c>
      <c r="D463" s="139" t="s">
        <v>934</v>
      </c>
      <c r="E463" s="8">
        <v>-100.29716710300001</v>
      </c>
      <c r="F463" s="8">
        <v>2.4E-2</v>
      </c>
      <c r="G463" s="8">
        <v>-250.11943699999998</v>
      </c>
      <c r="H463" s="8">
        <v>4.5999999999999999E-2</v>
      </c>
      <c r="I463" s="8">
        <v>0.76533631736408481</v>
      </c>
      <c r="J463" s="8">
        <v>0.41859798600952997</v>
      </c>
      <c r="K463" s="8">
        <v>-13.816649626550049</v>
      </c>
      <c r="L463" s="8">
        <v>1.1661258829670518</v>
      </c>
      <c r="M463" s="139"/>
      <c r="N463" s="61">
        <v>5</v>
      </c>
      <c r="O463" s="61">
        <v>24</v>
      </c>
    </row>
    <row r="464" spans="1:24" ht="13.5" customHeight="1" x14ac:dyDescent="0.2">
      <c r="A464" s="66">
        <v>2705</v>
      </c>
      <c r="B464" s="78">
        <v>850</v>
      </c>
      <c r="C464" s="37">
        <v>42073</v>
      </c>
      <c r="D464" s="158" t="s">
        <v>824</v>
      </c>
      <c r="E464" s="51">
        <v>-25.723736182</v>
      </c>
      <c r="F464" s="51">
        <v>7.0000000000000001E-3</v>
      </c>
      <c r="G464" s="51">
        <v>-153.99923836000002</v>
      </c>
      <c r="H464" s="38">
        <v>2.1999999999999999E-2</v>
      </c>
      <c r="I464" s="38">
        <v>3.2241847170100257</v>
      </c>
      <c r="J464" s="38">
        <v>0.30239495521135734</v>
      </c>
      <c r="K464" s="38">
        <v>9.3303625634686416</v>
      </c>
      <c r="L464" s="38">
        <v>0.71003518231404628</v>
      </c>
      <c r="M464" s="139"/>
      <c r="N464" s="61">
        <v>14</v>
      </c>
      <c r="O464" s="61">
        <v>30</v>
      </c>
    </row>
    <row r="465" spans="1:15" ht="11.25" customHeight="1" x14ac:dyDescent="0.2">
      <c r="A465" s="56">
        <v>2710</v>
      </c>
      <c r="B465" s="61">
        <v>852</v>
      </c>
      <c r="C465" s="5">
        <v>42075</v>
      </c>
      <c r="D465" s="139" t="s">
        <v>935</v>
      </c>
      <c r="E465" s="8">
        <v>-15.990819175</v>
      </c>
      <c r="F465" s="8">
        <v>2.9000000000000001E-2</v>
      </c>
      <c r="G465" s="8">
        <v>-285.77122406799998</v>
      </c>
      <c r="H465" s="8">
        <v>0.19800000000000001</v>
      </c>
      <c r="I465" s="8">
        <v>-2.172624958477587</v>
      </c>
      <c r="J465" s="8">
        <v>1.0632093254372486</v>
      </c>
      <c r="K465" s="8">
        <v>-1.3979483864834386</v>
      </c>
      <c r="L465" s="8">
        <v>4.246304875089896</v>
      </c>
      <c r="M465" s="139"/>
      <c r="N465" s="61">
        <v>3</v>
      </c>
      <c r="O465" s="61">
        <v>3</v>
      </c>
    </row>
    <row r="466" spans="1:15" ht="11.25" customHeight="1" x14ac:dyDescent="0.2">
      <c r="A466" s="56">
        <v>2712</v>
      </c>
      <c r="B466" s="61">
        <v>853</v>
      </c>
      <c r="C466" s="5">
        <v>42075</v>
      </c>
      <c r="D466" s="139" t="s">
        <v>936</v>
      </c>
      <c r="E466" s="8">
        <v>-15.972515164000001</v>
      </c>
      <c r="F466" s="8">
        <v>1.0999999999999999E-2</v>
      </c>
      <c r="G466" s="8">
        <v>-106.94587956999999</v>
      </c>
      <c r="H466" s="8">
        <v>0.19800000000000001</v>
      </c>
      <c r="I466" s="8">
        <v>1.3739895442297367</v>
      </c>
      <c r="J466" s="8">
        <v>0.51851984007577345</v>
      </c>
      <c r="K466" s="8">
        <v>1.0615350297698001</v>
      </c>
      <c r="L466" s="8">
        <v>2.7211075437854615</v>
      </c>
      <c r="M466" s="139"/>
      <c r="N466" s="61">
        <v>4</v>
      </c>
      <c r="O466" s="61">
        <v>3</v>
      </c>
    </row>
    <row r="467" spans="1:15" ht="11.25" customHeight="1" x14ac:dyDescent="0.2">
      <c r="A467" s="56">
        <v>2715</v>
      </c>
      <c r="B467" s="61">
        <v>854</v>
      </c>
      <c r="C467" s="5">
        <v>42076</v>
      </c>
      <c r="D467" s="139" t="s">
        <v>937</v>
      </c>
      <c r="E467" s="8">
        <v>-15.721075855000002</v>
      </c>
      <c r="F467" s="8">
        <v>2.1999999999999999E-2</v>
      </c>
      <c r="G467" s="8">
        <v>-107.26107403500001</v>
      </c>
      <c r="H467" s="8">
        <v>4.2999999999999997E-2</v>
      </c>
      <c r="I467" s="8">
        <v>1.441728072696602</v>
      </c>
      <c r="J467" s="8">
        <v>0.2870717619705016</v>
      </c>
      <c r="K467" s="8">
        <v>4.3766228691179965</v>
      </c>
      <c r="L467" s="8">
        <v>0.98627702423488639</v>
      </c>
      <c r="M467" s="139"/>
      <c r="N467" s="61">
        <v>8</v>
      </c>
      <c r="O467" s="61">
        <v>23</v>
      </c>
    </row>
    <row r="468" spans="1:15" ht="11.25" customHeight="1" x14ac:dyDescent="0.2">
      <c r="A468" s="56">
        <v>2717</v>
      </c>
      <c r="B468" s="61">
        <v>855</v>
      </c>
      <c r="C468" s="5">
        <v>42077</v>
      </c>
      <c r="D468" s="139" t="s">
        <v>938</v>
      </c>
      <c r="E468" s="8">
        <v>-16.496587900000002</v>
      </c>
      <c r="F468" s="8">
        <v>2.3E-2</v>
      </c>
      <c r="G468" s="8">
        <v>-113.082292408</v>
      </c>
      <c r="H468" s="8">
        <v>7.1999999999999995E-2</v>
      </c>
      <c r="I468" s="8">
        <v>1.6935433944305078</v>
      </c>
      <c r="J468" s="8">
        <v>0.35206628291448094</v>
      </c>
      <c r="K468" s="8">
        <v>4.4954775136589742</v>
      </c>
      <c r="L468" s="8">
        <v>1.7946722351635991</v>
      </c>
      <c r="M468" s="139"/>
      <c r="N468" s="61">
        <v>2</v>
      </c>
      <c r="O468" s="61">
        <v>7</v>
      </c>
    </row>
    <row r="469" spans="1:15" ht="11.25" customHeight="1" x14ac:dyDescent="0.2">
      <c r="A469" s="56">
        <v>2719</v>
      </c>
      <c r="B469" s="61">
        <v>857</v>
      </c>
      <c r="C469" s="5">
        <v>42078</v>
      </c>
      <c r="D469" s="139" t="s">
        <v>939</v>
      </c>
      <c r="E469" s="8">
        <v>-45.396694531000001</v>
      </c>
      <c r="F469" s="8">
        <v>1.0999999999999999E-2</v>
      </c>
      <c r="G469" s="8">
        <v>-115.60761164400002</v>
      </c>
      <c r="H469" s="8">
        <v>1.4999999999999999E-2</v>
      </c>
      <c r="I469" s="8">
        <v>4.3373771468602218</v>
      </c>
      <c r="J469" s="8">
        <v>0.1696881720946575</v>
      </c>
      <c r="K469" s="8">
        <v>4.4750218461997404</v>
      </c>
      <c r="L469" s="8">
        <v>0.50806968135184649</v>
      </c>
      <c r="M469" s="139"/>
      <c r="N469" s="61">
        <v>20</v>
      </c>
      <c r="O469" s="61">
        <v>40</v>
      </c>
    </row>
    <row r="470" spans="1:15" ht="11.25" customHeight="1" x14ac:dyDescent="0.2">
      <c r="A470" s="56">
        <v>2721</v>
      </c>
      <c r="B470" s="61">
        <v>858</v>
      </c>
      <c r="C470" s="5">
        <v>42081</v>
      </c>
      <c r="D470" s="139" t="s">
        <v>947</v>
      </c>
      <c r="E470" s="8">
        <v>-37.374000000000002</v>
      </c>
      <c r="F470" s="8">
        <v>5.0000000000000001E-3</v>
      </c>
      <c r="G470" s="8">
        <v>-145.520036812</v>
      </c>
      <c r="H470" s="8">
        <v>1.6E-2</v>
      </c>
      <c r="I470" s="8">
        <v>2.7927845889337277</v>
      </c>
      <c r="J470" s="8">
        <v>0.1608364616070361</v>
      </c>
      <c r="K470" s="8">
        <v>6.0831658518418763</v>
      </c>
      <c r="L470" s="8">
        <v>0.57955034265678373</v>
      </c>
      <c r="M470" s="139"/>
      <c r="N470" s="61">
        <v>16</v>
      </c>
      <c r="O470" s="61">
        <v>40</v>
      </c>
    </row>
    <row r="471" spans="1:15" ht="11.25" customHeight="1" x14ac:dyDescent="0.2">
      <c r="A471" s="56">
        <v>2723</v>
      </c>
      <c r="B471" s="61">
        <v>859</v>
      </c>
      <c r="C471" s="5">
        <v>42082</v>
      </c>
      <c r="D471" s="139" t="s">
        <v>940</v>
      </c>
      <c r="E471" s="8">
        <v>-21.716121142000002</v>
      </c>
      <c r="F471" s="8">
        <v>4.0000000000000001E-3</v>
      </c>
      <c r="G471" s="8">
        <v>-131.58091442700001</v>
      </c>
      <c r="H471" s="8">
        <v>1.4E-2</v>
      </c>
      <c r="I471" s="8">
        <v>1.233853443637134</v>
      </c>
      <c r="J471" s="8">
        <v>0.12475336124188492</v>
      </c>
      <c r="K471" s="8">
        <v>2.732806781037711</v>
      </c>
      <c r="L471" s="8">
        <v>0.47275442227199765</v>
      </c>
      <c r="M471" s="139"/>
      <c r="N471" s="61">
        <v>20</v>
      </c>
      <c r="O471" s="61">
        <v>40</v>
      </c>
    </row>
    <row r="472" spans="1:15" ht="11.25" customHeight="1" x14ac:dyDescent="0.2">
      <c r="A472" s="56">
        <v>2726</v>
      </c>
      <c r="B472" s="61">
        <v>860</v>
      </c>
      <c r="C472" s="5">
        <v>42083</v>
      </c>
      <c r="D472" s="139" t="s">
        <v>941</v>
      </c>
      <c r="E472" s="8">
        <v>-21.976230772000001</v>
      </c>
      <c r="F472" s="8">
        <v>6.0000000000000001E-3</v>
      </c>
      <c r="G472" s="8">
        <v>-131.69664254400001</v>
      </c>
      <c r="H472" s="8">
        <v>1.9E-2</v>
      </c>
      <c r="I472" s="8">
        <v>1.06365390487273</v>
      </c>
      <c r="J472" s="8">
        <v>0.15941582650425548</v>
      </c>
      <c r="K472" s="8">
        <v>2.4721894887465012</v>
      </c>
      <c r="L472" s="8">
        <v>0.63032687008654897</v>
      </c>
      <c r="M472" s="139"/>
      <c r="N472" s="61">
        <v>20</v>
      </c>
      <c r="O472" s="61">
        <v>34</v>
      </c>
    </row>
    <row r="473" spans="1:15" ht="11.25" customHeight="1" x14ac:dyDescent="0.2">
      <c r="A473" s="56">
        <v>2726</v>
      </c>
      <c r="B473" s="61">
        <v>866</v>
      </c>
      <c r="C473" s="5">
        <v>42083</v>
      </c>
      <c r="D473" s="139" t="s">
        <v>942</v>
      </c>
      <c r="E473" s="8">
        <v>-53.822319804999999</v>
      </c>
      <c r="F473" s="8">
        <v>7.0000000000000001E-3</v>
      </c>
      <c r="G473" s="8">
        <v>-261.53135839100003</v>
      </c>
      <c r="H473" s="8">
        <v>2.8000000000000001E-2</v>
      </c>
      <c r="I473" s="8">
        <v>-2.5681229736994604</v>
      </c>
      <c r="J473" s="8">
        <v>0.24913285265768226</v>
      </c>
      <c r="K473" s="8">
        <v>-48.942791098577466</v>
      </c>
      <c r="L473" s="8">
        <v>0.83231414302899476</v>
      </c>
      <c r="M473" s="139"/>
      <c r="N473" s="61">
        <v>6</v>
      </c>
      <c r="O473" s="61">
        <v>34</v>
      </c>
    </row>
    <row r="474" spans="1:15" ht="11.25" customHeight="1" x14ac:dyDescent="0.2">
      <c r="A474" s="56">
        <v>2731</v>
      </c>
      <c r="B474" s="61">
        <v>867</v>
      </c>
      <c r="C474" s="5">
        <v>42089</v>
      </c>
      <c r="D474" s="139" t="s">
        <v>943</v>
      </c>
      <c r="E474" s="8">
        <v>-8.7327971290000015</v>
      </c>
      <c r="F474" s="8">
        <v>6.0000000000000001E-3</v>
      </c>
      <c r="G474" s="8">
        <v>-16.428615375000003</v>
      </c>
      <c r="H474" s="8">
        <v>1.4E-2</v>
      </c>
      <c r="I474" s="8">
        <v>-6.7772968957938717</v>
      </c>
      <c r="J474" s="8">
        <v>0.128188570082405</v>
      </c>
      <c r="K474" s="8">
        <v>-31.935106896316956</v>
      </c>
      <c r="L474" s="8">
        <v>0.43937253743689958</v>
      </c>
      <c r="M474" s="139"/>
      <c r="N474" s="61">
        <v>20</v>
      </c>
      <c r="O474" s="61">
        <v>40</v>
      </c>
    </row>
    <row r="475" spans="1:15" ht="11.25" customHeight="1" x14ac:dyDescent="0.2">
      <c r="A475" s="56">
        <v>2733</v>
      </c>
      <c r="B475" s="61">
        <v>868</v>
      </c>
      <c r="C475" s="5">
        <v>42095</v>
      </c>
      <c r="D475" s="139" t="s">
        <v>944</v>
      </c>
      <c r="E475" s="8">
        <v>-47.037311938000002</v>
      </c>
      <c r="F475" s="8">
        <v>2.3E-2</v>
      </c>
      <c r="G475" s="8">
        <v>-257.01043479599997</v>
      </c>
      <c r="H475" s="8">
        <v>2.9000000000000001E-2</v>
      </c>
      <c r="I475" s="8">
        <v>-2.78901548483379</v>
      </c>
      <c r="J475" s="8">
        <v>0.25210688701330258</v>
      </c>
      <c r="K475" s="8">
        <v>-55.761210390825269</v>
      </c>
      <c r="L475" s="8">
        <v>0.91464520732289356</v>
      </c>
      <c r="M475" s="139"/>
      <c r="N475" s="61">
        <v>9</v>
      </c>
      <c r="O475" s="61">
        <v>26</v>
      </c>
    </row>
    <row r="476" spans="1:15" ht="11.25" customHeight="1" x14ac:dyDescent="0.2">
      <c r="A476" s="56">
        <v>2736</v>
      </c>
      <c r="B476" s="61">
        <v>869</v>
      </c>
      <c r="C476" s="5">
        <v>42095</v>
      </c>
      <c r="D476" s="139" t="s">
        <v>945</v>
      </c>
      <c r="E476" s="8">
        <v>-29.830578229</v>
      </c>
      <c r="F476" s="8">
        <v>0.01</v>
      </c>
      <c r="G476" s="8">
        <v>-124.57701115099999</v>
      </c>
      <c r="H476" s="8">
        <v>1.7000000000000001E-2</v>
      </c>
      <c r="I476" s="8">
        <v>-0.53443378002182573</v>
      </c>
      <c r="J476" s="8">
        <v>0.15825445584460299</v>
      </c>
      <c r="K476" s="8">
        <v>-8.545866936723435</v>
      </c>
      <c r="L476" s="8">
        <v>0.54879655704368879</v>
      </c>
      <c r="M476" s="139"/>
      <c r="N476" s="61">
        <v>20</v>
      </c>
      <c r="O476" s="61">
        <v>40</v>
      </c>
    </row>
    <row r="477" spans="1:15" ht="11.25" customHeight="1" x14ac:dyDescent="0.2">
      <c r="A477" s="56">
        <v>2738</v>
      </c>
      <c r="B477" s="61">
        <v>875</v>
      </c>
      <c r="C477" s="5">
        <v>42118</v>
      </c>
      <c r="D477" s="139" t="s">
        <v>946</v>
      </c>
      <c r="E477" s="8">
        <v>-39.746535346000002</v>
      </c>
      <c r="F477" s="8">
        <v>0.01</v>
      </c>
      <c r="G477" s="8">
        <v>-157.09661202800001</v>
      </c>
      <c r="H477" s="8">
        <v>1.7000000000000001E-2</v>
      </c>
      <c r="I477" s="8">
        <v>2.814675534432709</v>
      </c>
      <c r="J477" s="8">
        <v>0.16157966444777946</v>
      </c>
      <c r="K477" s="8">
        <v>7.0277035019110645</v>
      </c>
      <c r="L477" s="8">
        <v>0.59760410359202099</v>
      </c>
      <c r="M477" s="139"/>
      <c r="N477" s="61">
        <v>20</v>
      </c>
      <c r="O477" s="61">
        <v>40</v>
      </c>
    </row>
    <row r="478" spans="1:15" ht="11.25" customHeight="1" x14ac:dyDescent="0.2">
      <c r="A478" s="94">
        <v>2769</v>
      </c>
      <c r="B478" s="94">
        <v>911</v>
      </c>
      <c r="C478" s="95">
        <v>42145</v>
      </c>
      <c r="D478" s="162" t="s">
        <v>824</v>
      </c>
      <c r="E478" s="97">
        <v>-25.407751150000003</v>
      </c>
      <c r="F478" s="97">
        <v>8.9999999999999993E-3</v>
      </c>
      <c r="G478" s="97">
        <v>-153.32368723799999</v>
      </c>
      <c r="H478" s="97">
        <v>1.4E-2</v>
      </c>
      <c r="I478" s="97">
        <v>3.6805052555097806</v>
      </c>
      <c r="J478" s="97">
        <v>0.24013970067272092</v>
      </c>
      <c r="K478" s="97">
        <v>7.939972222304803</v>
      </c>
      <c r="L478" s="97">
        <v>0.51553542562427368</v>
      </c>
      <c r="M478" s="139"/>
      <c r="N478" s="61">
        <v>10</v>
      </c>
      <c r="O478" s="61">
        <v>40</v>
      </c>
    </row>
    <row r="479" spans="1:15" ht="11.25" customHeight="1" x14ac:dyDescent="0.2">
      <c r="A479" s="56">
        <v>2772</v>
      </c>
      <c r="B479" s="61">
        <v>918</v>
      </c>
      <c r="C479" s="5">
        <v>42146</v>
      </c>
      <c r="D479" s="139" t="s">
        <v>948</v>
      </c>
      <c r="E479" s="8">
        <v>-101.480184235</v>
      </c>
      <c r="F479" s="8">
        <v>6.0000000000000001E-3</v>
      </c>
      <c r="G479" s="8">
        <v>42.387612673</v>
      </c>
      <c r="H479" s="8">
        <v>4.2999999999999997E-2</v>
      </c>
      <c r="I479" s="8">
        <v>-2.9541995859694303E-2</v>
      </c>
      <c r="J479" s="8">
        <v>0.25371929844011082</v>
      </c>
      <c r="K479" s="8">
        <v>-25.464006959653453</v>
      </c>
      <c r="L479" s="8">
        <v>0.85026129904897796</v>
      </c>
      <c r="M479" s="139"/>
      <c r="N479" s="61">
        <v>10</v>
      </c>
      <c r="O479" s="61">
        <v>31</v>
      </c>
    </row>
    <row r="480" spans="1:15" ht="11.25" customHeight="1" x14ac:dyDescent="0.2">
      <c r="A480" s="56">
        <v>2774</v>
      </c>
      <c r="B480" s="61">
        <v>922</v>
      </c>
      <c r="C480" s="5">
        <v>42147</v>
      </c>
      <c r="D480" s="139" t="s">
        <v>950</v>
      </c>
      <c r="E480" s="8">
        <v>-38.248496551000002</v>
      </c>
      <c r="F480" s="8">
        <v>8.0000000000000002E-3</v>
      </c>
      <c r="G480" s="8">
        <v>-155.949680527</v>
      </c>
      <c r="H480" s="8">
        <v>1.7999999999999999E-2</v>
      </c>
      <c r="I480" s="8">
        <v>2.5942860137231349</v>
      </c>
      <c r="J480" s="8">
        <v>0.20770236586552301</v>
      </c>
      <c r="K480" s="8">
        <v>6.1513868858367182</v>
      </c>
      <c r="L480" s="8">
        <v>0.59418250234386938</v>
      </c>
      <c r="M480" s="139"/>
      <c r="N480" s="61">
        <v>5</v>
      </c>
      <c r="O480" s="61">
        <v>34</v>
      </c>
    </row>
    <row r="481" spans="1:9216 9218:13311 13313:16384" ht="11.25" customHeight="1" x14ac:dyDescent="0.2">
      <c r="A481" s="56">
        <v>2776</v>
      </c>
      <c r="B481" s="61">
        <v>927</v>
      </c>
      <c r="C481" s="5">
        <v>42146</v>
      </c>
      <c r="D481" s="139" t="s">
        <v>949</v>
      </c>
      <c r="E481" s="8">
        <v>-97.949436850000012</v>
      </c>
      <c r="F481" s="8">
        <v>1.9E-2</v>
      </c>
      <c r="G481" s="8">
        <v>-46.425719653000002</v>
      </c>
      <c r="H481" s="8">
        <v>0.03</v>
      </c>
      <c r="I481" s="8">
        <v>0.2391677933664127</v>
      </c>
      <c r="J481" s="8">
        <v>0.35482914385612391</v>
      </c>
      <c r="K481" s="8">
        <v>0.12421470490409092</v>
      </c>
      <c r="L481" s="8">
        <v>0.71598615508947239</v>
      </c>
      <c r="M481" s="139"/>
      <c r="N481" s="61"/>
      <c r="O481" s="61"/>
    </row>
    <row r="482" spans="1:9216 9218:13311 13313:16384" ht="11.25" customHeight="1" x14ac:dyDescent="0.2">
      <c r="A482" s="56">
        <v>2778</v>
      </c>
      <c r="B482" s="61">
        <v>930</v>
      </c>
      <c r="C482" s="5">
        <v>42146</v>
      </c>
      <c r="D482" s="139" t="s">
        <v>951</v>
      </c>
      <c r="E482" s="8">
        <v>-100.48791416499999</v>
      </c>
      <c r="F482" s="8">
        <v>1.4999999999999999E-2</v>
      </c>
      <c r="G482" s="8">
        <v>51.261042521999997</v>
      </c>
      <c r="H482" s="8">
        <v>3.9E-2</v>
      </c>
      <c r="I482" s="8">
        <v>-0.21521519710465675</v>
      </c>
      <c r="J482" s="8">
        <v>0.43896839163097406</v>
      </c>
      <c r="K482" s="8">
        <v>-28.597157415978238</v>
      </c>
      <c r="L482" s="8">
        <v>0.75674591071931341</v>
      </c>
      <c r="M482" s="139"/>
      <c r="N482" s="61">
        <v>7</v>
      </c>
      <c r="O482" s="61">
        <v>36</v>
      </c>
    </row>
    <row r="483" spans="1:9216 9218:13311 13313:16384" ht="11.25" customHeight="1" x14ac:dyDescent="0.2">
      <c r="A483" s="56">
        <v>2781</v>
      </c>
      <c r="B483" s="61">
        <v>931</v>
      </c>
      <c r="C483" s="5">
        <v>42154</v>
      </c>
      <c r="D483" s="139" t="s">
        <v>1035</v>
      </c>
      <c r="E483" s="8">
        <v>-56.379101130999999</v>
      </c>
      <c r="F483" s="8">
        <v>1.4E-2</v>
      </c>
      <c r="G483" s="8">
        <v>-605.48849442099993</v>
      </c>
      <c r="H483" s="8">
        <v>3.1E-2</v>
      </c>
      <c r="I483" s="8">
        <v>1.9865245514429919</v>
      </c>
      <c r="J483" s="8">
        <v>0.3491268318768222</v>
      </c>
      <c r="K483" s="8">
        <v>-32.08143392808249</v>
      </c>
      <c r="L483" s="8">
        <v>1.5813798321012729</v>
      </c>
      <c r="M483" s="139"/>
      <c r="N483" s="61">
        <v>6</v>
      </c>
      <c r="O483" s="61">
        <v>37</v>
      </c>
    </row>
    <row r="484" spans="1:9216 9218:13311 13313:16384" ht="11.25" customHeight="1" x14ac:dyDescent="0.2">
      <c r="A484" s="56">
        <v>2783</v>
      </c>
      <c r="B484" s="61">
        <v>932</v>
      </c>
      <c r="C484" s="5">
        <v>42147</v>
      </c>
      <c r="D484" s="139" t="s">
        <v>952</v>
      </c>
      <c r="E484" s="8">
        <v>-38.582785593999994</v>
      </c>
      <c r="F484" s="8">
        <v>6.0000000000000001E-3</v>
      </c>
      <c r="G484" s="8">
        <v>-156.24888004900001</v>
      </c>
      <c r="H484" s="8">
        <v>2.5999999999999999E-2</v>
      </c>
      <c r="I484" s="8">
        <v>2.5454302378193905</v>
      </c>
      <c r="J484" s="8">
        <v>0.22100860319165413</v>
      </c>
      <c r="K484" s="8">
        <v>7.5524043307897415</v>
      </c>
      <c r="L484" s="8">
        <v>0.85481474588286954</v>
      </c>
      <c r="M484" s="139"/>
      <c r="N484" s="61"/>
      <c r="O484" s="61"/>
    </row>
    <row r="485" spans="1:9216 9218:13311 13313:16384" ht="11.25" customHeight="1" x14ac:dyDescent="0.2">
      <c r="A485" s="56">
        <v>2774</v>
      </c>
      <c r="B485" s="61">
        <v>933</v>
      </c>
      <c r="C485" s="5">
        <v>42147</v>
      </c>
      <c r="D485" s="139" t="s">
        <v>953</v>
      </c>
      <c r="E485" s="8">
        <v>-37.043321931999998</v>
      </c>
      <c r="F485" s="8">
        <v>4.0000000000000001E-3</v>
      </c>
      <c r="G485" s="8">
        <v>-145.167207187</v>
      </c>
      <c r="H485" s="8">
        <v>2.9000000000000001E-2</v>
      </c>
      <c r="I485" s="8">
        <v>2.6548572733773312</v>
      </c>
      <c r="J485" s="8">
        <v>0.16937002966795037</v>
      </c>
      <c r="K485" s="8">
        <v>5.3036598799021117</v>
      </c>
      <c r="L485" s="8">
        <v>0.80153790032025096</v>
      </c>
      <c r="M485" s="139"/>
      <c r="N485" s="61"/>
      <c r="O485" s="61"/>
    </row>
    <row r="486" spans="1:9216 9218:13311 13313:16384" x14ac:dyDescent="0.2">
      <c r="A486" s="56">
        <v>2787</v>
      </c>
      <c r="B486" s="56">
        <v>935</v>
      </c>
      <c r="C486" s="4">
        <v>42194</v>
      </c>
      <c r="D486" s="160" t="s">
        <v>954</v>
      </c>
      <c r="E486" s="80">
        <v>-42.970931389</v>
      </c>
      <c r="F486" s="80">
        <v>7.0000000000000001E-3</v>
      </c>
      <c r="G486" s="80">
        <v>-167.74548055</v>
      </c>
      <c r="H486" s="80">
        <v>3.5000000000000003E-2</v>
      </c>
      <c r="I486" s="80">
        <v>3.0082345069251115</v>
      </c>
      <c r="J486" s="80">
        <v>0.29974276945637118</v>
      </c>
      <c r="K486" s="80">
        <v>9.9232191007547765</v>
      </c>
      <c r="L486" s="80">
        <v>0.90837761093143998</v>
      </c>
    </row>
    <row r="487" spans="1:9216 9218:13311 13313:16384" x14ac:dyDescent="0.2">
      <c r="A487" s="94">
        <v>2789</v>
      </c>
      <c r="B487" s="94">
        <v>936</v>
      </c>
      <c r="C487" s="95">
        <v>42200</v>
      </c>
      <c r="D487" s="162" t="s">
        <v>955</v>
      </c>
      <c r="E487" s="97">
        <v>-26.03</v>
      </c>
      <c r="F487" s="97">
        <v>7.0000000000000001E-3</v>
      </c>
      <c r="G487" s="97">
        <v>-154.65600000000001</v>
      </c>
      <c r="H487" s="97">
        <v>3.5000000000000003E-2</v>
      </c>
      <c r="I487" s="97">
        <v>2.9430000000000001</v>
      </c>
      <c r="J487" s="97">
        <v>0.28999999999999998</v>
      </c>
      <c r="K487" s="97">
        <v>8.6370000000000005</v>
      </c>
      <c r="L487" s="97">
        <v>0.88200000000000001</v>
      </c>
      <c r="N487" s="56">
        <v>20</v>
      </c>
      <c r="O487" s="56">
        <v>35</v>
      </c>
    </row>
    <row r="488" spans="1:9216 9218:13311 13313:16384" x14ac:dyDescent="0.2">
      <c r="A488" s="94">
        <v>2791</v>
      </c>
      <c r="B488" s="94">
        <v>938</v>
      </c>
      <c r="C488" s="95">
        <v>42202</v>
      </c>
      <c r="D488" s="162" t="s">
        <v>956</v>
      </c>
      <c r="E488" s="97">
        <v>-25.364000000000001</v>
      </c>
      <c r="F488" s="97">
        <v>3.0000000000000001E-3</v>
      </c>
      <c r="G488" s="97">
        <v>-154.66900000000001</v>
      </c>
      <c r="H488" s="97">
        <v>3.5000000000000003E-2</v>
      </c>
      <c r="I488" s="97">
        <v>5.2229999999999999</v>
      </c>
      <c r="J488" s="97">
        <v>0.17</v>
      </c>
      <c r="K488" s="97">
        <v>9.2460000000000004</v>
      </c>
      <c r="L488" s="97">
        <v>0.88100000000000001</v>
      </c>
      <c r="N488" s="94">
        <v>20</v>
      </c>
      <c r="O488" s="94">
        <v>36</v>
      </c>
      <c r="S488" s="97"/>
      <c r="T488" s="97"/>
      <c r="U488" s="97"/>
      <c r="V488" s="182"/>
      <c r="W488" s="133"/>
      <c r="X488" s="131"/>
      <c r="Y488" s="97"/>
      <c r="AA488" s="94"/>
      <c r="AB488" s="94"/>
      <c r="AC488" s="95"/>
      <c r="AD488" s="96"/>
      <c r="AE488" s="97"/>
      <c r="AF488" s="97"/>
      <c r="AG488" s="97"/>
      <c r="AH488" s="97"/>
      <c r="AI488" s="97"/>
      <c r="AJ488" s="97"/>
      <c r="AK488" s="97"/>
      <c r="AL488" s="97"/>
      <c r="AN488" s="94"/>
      <c r="AO488" s="94"/>
      <c r="AP488" s="95"/>
      <c r="AQ488" s="96"/>
      <c r="AR488" s="97"/>
      <c r="AS488" s="97"/>
      <c r="AT488" s="97"/>
      <c r="AU488" s="97"/>
      <c r="AV488" s="97"/>
      <c r="AW488" s="97"/>
      <c r="AX488" s="97"/>
      <c r="AY488" s="97"/>
      <c r="BA488" s="94"/>
      <c r="BB488" s="94"/>
      <c r="BC488" s="95"/>
      <c r="BD488" s="96"/>
      <c r="BE488" s="97"/>
      <c r="BF488" s="97"/>
      <c r="BG488" s="97"/>
      <c r="BH488" s="97"/>
      <c r="BI488" s="97"/>
      <c r="BJ488" s="97"/>
      <c r="BK488" s="97"/>
      <c r="BL488" s="97"/>
      <c r="BN488" s="94"/>
      <c r="BO488" s="94"/>
      <c r="BP488" s="95"/>
      <c r="BQ488" s="96"/>
      <c r="BR488" s="97"/>
      <c r="BS488" s="97"/>
      <c r="BT488" s="97"/>
      <c r="BU488" s="97"/>
      <c r="BV488" s="97"/>
      <c r="BW488" s="97"/>
      <c r="BX488" s="97"/>
      <c r="BY488" s="97"/>
      <c r="CA488" s="94"/>
      <c r="CB488" s="94"/>
      <c r="CC488" s="95"/>
      <c r="CD488" s="96"/>
      <c r="CE488" s="97"/>
      <c r="CF488" s="97"/>
      <c r="CG488" s="97"/>
      <c r="CH488" s="97"/>
      <c r="CI488" s="97"/>
      <c r="CJ488" s="97"/>
      <c r="CK488" s="97"/>
      <c r="CL488" s="97"/>
      <c r="CN488" s="94"/>
      <c r="CO488" s="94"/>
      <c r="CP488" s="95"/>
      <c r="CQ488" s="96"/>
      <c r="CR488" s="97"/>
      <c r="CS488" s="97"/>
      <c r="CT488" s="97"/>
      <c r="CU488" s="97"/>
      <c r="CV488" s="97"/>
      <c r="CW488" s="97"/>
      <c r="CX488" s="97"/>
      <c r="CY488" s="97"/>
      <c r="DA488" s="94"/>
      <c r="DB488" s="94"/>
      <c r="DC488" s="95"/>
      <c r="DD488" s="96"/>
      <c r="DE488" s="97"/>
      <c r="DF488" s="97"/>
      <c r="DG488" s="97"/>
      <c r="DH488" s="97"/>
      <c r="DI488" s="97"/>
      <c r="DJ488" s="97"/>
      <c r="DK488" s="97"/>
      <c r="DL488" s="97"/>
      <c r="DN488" s="94"/>
      <c r="DO488" s="94"/>
      <c r="DP488" s="95"/>
      <c r="DQ488" s="96"/>
      <c r="DR488" s="97"/>
      <c r="DS488" s="97"/>
      <c r="DT488" s="97"/>
      <c r="DU488" s="97"/>
      <c r="DV488" s="97"/>
      <c r="DW488" s="97"/>
      <c r="DX488" s="97"/>
      <c r="DY488" s="97"/>
      <c r="EA488" s="94"/>
      <c r="EB488" s="94"/>
      <c r="EC488" s="95"/>
      <c r="ED488" s="96"/>
      <c r="EE488" s="97"/>
      <c r="EF488" s="97"/>
      <c r="EG488" s="97"/>
      <c r="EH488" s="97"/>
      <c r="EI488" s="97"/>
      <c r="EJ488" s="97"/>
      <c r="EK488" s="97"/>
      <c r="EL488" s="97"/>
      <c r="EN488" s="94"/>
      <c r="EO488" s="94"/>
      <c r="EP488" s="95"/>
      <c r="EQ488" s="96"/>
      <c r="ER488" s="97"/>
      <c r="ES488" s="97"/>
      <c r="ET488" s="97"/>
      <c r="EU488" s="97"/>
      <c r="EV488" s="97"/>
      <c r="EW488" s="97"/>
      <c r="EX488" s="97"/>
      <c r="EY488" s="97"/>
      <c r="FA488" s="94"/>
      <c r="FB488" s="94"/>
      <c r="FC488" s="95"/>
      <c r="FD488" s="96"/>
      <c r="FE488" s="97"/>
      <c r="FF488" s="97"/>
      <c r="FG488" s="97"/>
      <c r="FH488" s="97"/>
      <c r="FI488" s="97"/>
      <c r="FJ488" s="97"/>
      <c r="FK488" s="97"/>
      <c r="FL488" s="97"/>
      <c r="FN488" s="94"/>
      <c r="FO488" s="94"/>
      <c r="FP488" s="95"/>
      <c r="FQ488" s="96"/>
      <c r="FR488" s="97"/>
      <c r="FS488" s="97"/>
      <c r="FT488" s="97"/>
      <c r="FU488" s="97"/>
      <c r="FV488" s="97"/>
      <c r="FW488" s="97"/>
      <c r="FX488" s="97"/>
      <c r="FY488" s="97"/>
      <c r="GA488" s="94"/>
      <c r="GB488" s="94"/>
      <c r="GC488" s="95"/>
      <c r="GD488" s="96"/>
      <c r="GE488" s="97"/>
      <c r="GF488" s="97"/>
      <c r="GG488" s="97"/>
      <c r="GH488" s="97"/>
      <c r="GI488" s="97"/>
      <c r="GJ488" s="97"/>
      <c r="GK488" s="97"/>
      <c r="GL488" s="97"/>
      <c r="GN488" s="94"/>
      <c r="GO488" s="94"/>
      <c r="GP488" s="95"/>
      <c r="GQ488" s="96"/>
      <c r="GR488" s="97"/>
      <c r="GS488" s="97"/>
      <c r="GT488" s="97"/>
      <c r="GU488" s="97"/>
      <c r="GV488" s="97"/>
      <c r="GW488" s="97"/>
      <c r="GX488" s="97"/>
      <c r="GY488" s="97"/>
      <c r="HA488" s="94"/>
      <c r="HB488" s="94"/>
      <c r="HC488" s="95"/>
      <c r="HD488" s="96"/>
      <c r="HE488" s="97"/>
      <c r="HF488" s="97"/>
      <c r="HG488" s="97"/>
      <c r="HH488" s="97"/>
      <c r="HI488" s="97"/>
      <c r="HJ488" s="97"/>
      <c r="HK488" s="97"/>
      <c r="HL488" s="97"/>
      <c r="HN488" s="94"/>
      <c r="HO488" s="94"/>
      <c r="HP488" s="95"/>
      <c r="HQ488" s="96"/>
      <c r="HR488" s="97"/>
      <c r="HS488" s="97"/>
      <c r="HT488" s="97"/>
      <c r="HU488" s="97"/>
      <c r="HV488" s="97"/>
      <c r="HW488" s="97"/>
      <c r="HX488" s="97"/>
      <c r="HY488" s="97"/>
      <c r="IA488" s="94"/>
      <c r="IB488" s="94"/>
      <c r="IC488" s="95"/>
      <c r="ID488" s="96"/>
      <c r="IE488" s="97"/>
      <c r="IF488" s="97"/>
      <c r="IG488" s="97"/>
      <c r="IH488" s="97"/>
      <c r="II488" s="97"/>
      <c r="IJ488" s="97"/>
      <c r="IK488" s="97"/>
      <c r="IL488" s="97"/>
      <c r="IN488" s="94"/>
      <c r="IO488" s="94"/>
      <c r="IP488" s="95"/>
      <c r="IQ488" s="96"/>
      <c r="IR488" s="97"/>
      <c r="IS488" s="97"/>
      <c r="IT488" s="97"/>
      <c r="IU488" s="97"/>
      <c r="IV488" s="97"/>
      <c r="IW488" s="97"/>
      <c r="IX488" s="97"/>
      <c r="IY488" s="97"/>
      <c r="JA488" s="94"/>
      <c r="JB488" s="94"/>
      <c r="JC488" s="95"/>
      <c r="JD488" s="96"/>
      <c r="JE488" s="97"/>
      <c r="JF488" s="97"/>
      <c r="JG488" s="97"/>
      <c r="JH488" s="97"/>
      <c r="JI488" s="97"/>
      <c r="JJ488" s="97"/>
      <c r="JK488" s="97"/>
      <c r="JL488" s="97"/>
      <c r="JN488" s="94"/>
      <c r="JO488" s="94"/>
      <c r="JP488" s="95"/>
      <c r="JQ488" s="96"/>
      <c r="JR488" s="97"/>
      <c r="JS488" s="97"/>
      <c r="JT488" s="97"/>
      <c r="JU488" s="97"/>
      <c r="JV488" s="97"/>
      <c r="JW488" s="97"/>
      <c r="JX488" s="97"/>
      <c r="JY488" s="97"/>
      <c r="KA488" s="94"/>
      <c r="KB488" s="94"/>
      <c r="KC488" s="95"/>
      <c r="KD488" s="96"/>
      <c r="KE488" s="97"/>
      <c r="KF488" s="97"/>
      <c r="KG488" s="97"/>
      <c r="KH488" s="97"/>
      <c r="KI488" s="97"/>
      <c r="KJ488" s="97"/>
      <c r="KK488" s="97"/>
      <c r="KL488" s="97"/>
      <c r="KN488" s="94"/>
      <c r="KO488" s="94"/>
      <c r="KP488" s="95"/>
      <c r="KQ488" s="96"/>
      <c r="KR488" s="97"/>
      <c r="KS488" s="97"/>
      <c r="KT488" s="97"/>
      <c r="KU488" s="97"/>
      <c r="KV488" s="97"/>
      <c r="KW488" s="97"/>
      <c r="KX488" s="97"/>
      <c r="KY488" s="97"/>
      <c r="LA488" s="94"/>
      <c r="LB488" s="94"/>
      <c r="LC488" s="95"/>
      <c r="LD488" s="96"/>
      <c r="LE488" s="97"/>
      <c r="LF488" s="97"/>
      <c r="LG488" s="97"/>
      <c r="LH488" s="97"/>
      <c r="LI488" s="97"/>
      <c r="LJ488" s="97"/>
      <c r="LK488" s="97"/>
      <c r="LL488" s="97"/>
      <c r="LN488" s="94"/>
      <c r="LO488" s="94"/>
      <c r="LP488" s="95"/>
      <c r="LQ488" s="96"/>
      <c r="LR488" s="97"/>
      <c r="LS488" s="97"/>
      <c r="LT488" s="97"/>
      <c r="LU488" s="97"/>
      <c r="LV488" s="97"/>
      <c r="LW488" s="97"/>
      <c r="LX488" s="97"/>
      <c r="LY488" s="97"/>
      <c r="MA488" s="94"/>
      <c r="MB488" s="94"/>
      <c r="MC488" s="95"/>
      <c r="MD488" s="96"/>
      <c r="ME488" s="97"/>
      <c r="MF488" s="97"/>
      <c r="MG488" s="97"/>
      <c r="MH488" s="97"/>
      <c r="MI488" s="97"/>
      <c r="MJ488" s="97"/>
      <c r="MK488" s="97"/>
      <c r="ML488" s="97"/>
      <c r="MN488" s="94"/>
      <c r="MO488" s="94"/>
      <c r="MP488" s="95"/>
      <c r="MQ488" s="96"/>
      <c r="MR488" s="97"/>
      <c r="MS488" s="97"/>
      <c r="MT488" s="97"/>
      <c r="MU488" s="97"/>
      <c r="MV488" s="97"/>
      <c r="MW488" s="97"/>
      <c r="MX488" s="97"/>
      <c r="MY488" s="97"/>
      <c r="NA488" s="94"/>
      <c r="NB488" s="94"/>
      <c r="NC488" s="95"/>
      <c r="ND488" s="96"/>
      <c r="NE488" s="97"/>
      <c r="NF488" s="97"/>
      <c r="NG488" s="97"/>
      <c r="NH488" s="97"/>
      <c r="NI488" s="97"/>
      <c r="NJ488" s="97"/>
      <c r="NK488" s="97"/>
      <c r="NL488" s="97"/>
      <c r="NN488" s="94"/>
      <c r="NO488" s="94"/>
      <c r="NP488" s="95"/>
      <c r="NQ488" s="96"/>
      <c r="NR488" s="97"/>
      <c r="NS488" s="97"/>
      <c r="NT488" s="97"/>
      <c r="NU488" s="97"/>
      <c r="NV488" s="97"/>
      <c r="NW488" s="97"/>
      <c r="NX488" s="97"/>
      <c r="NY488" s="97"/>
      <c r="OA488" s="94"/>
      <c r="OB488" s="94"/>
      <c r="OC488" s="95"/>
      <c r="OD488" s="96"/>
      <c r="OE488" s="97"/>
      <c r="OF488" s="97"/>
      <c r="OG488" s="97"/>
      <c r="OH488" s="97"/>
      <c r="OI488" s="97"/>
      <c r="OJ488" s="97"/>
      <c r="OK488" s="97"/>
      <c r="OL488" s="97"/>
      <c r="ON488" s="94"/>
      <c r="OO488" s="94"/>
      <c r="OP488" s="95"/>
      <c r="OQ488" s="96"/>
      <c r="OR488" s="97"/>
      <c r="OS488" s="97"/>
      <c r="OT488" s="97"/>
      <c r="OU488" s="97"/>
      <c r="OV488" s="97"/>
      <c r="OW488" s="97"/>
      <c r="OX488" s="97"/>
      <c r="OY488" s="97"/>
      <c r="PA488" s="94"/>
      <c r="PB488" s="94"/>
      <c r="PC488" s="95"/>
      <c r="PD488" s="96"/>
      <c r="PE488" s="97"/>
      <c r="PF488" s="97"/>
      <c r="PG488" s="97"/>
      <c r="PH488" s="97"/>
      <c r="PI488" s="97"/>
      <c r="PJ488" s="97"/>
      <c r="PK488" s="97"/>
      <c r="PL488" s="97"/>
      <c r="PN488" s="94"/>
      <c r="PO488" s="94"/>
      <c r="PP488" s="95"/>
      <c r="PQ488" s="96"/>
      <c r="PR488" s="97"/>
      <c r="PS488" s="97"/>
      <c r="PT488" s="97"/>
      <c r="PU488" s="97"/>
      <c r="PV488" s="97"/>
      <c r="PW488" s="97"/>
      <c r="PX488" s="97"/>
      <c r="PY488" s="97"/>
      <c r="QA488" s="94"/>
      <c r="QB488" s="94"/>
      <c r="QC488" s="95"/>
      <c r="QD488" s="96"/>
      <c r="QE488" s="97"/>
      <c r="QF488" s="97"/>
      <c r="QG488" s="97"/>
      <c r="QH488" s="97"/>
      <c r="QI488" s="97"/>
      <c r="QJ488" s="97"/>
      <c r="QK488" s="97"/>
      <c r="QL488" s="97"/>
      <c r="QN488" s="94"/>
      <c r="QO488" s="94"/>
      <c r="QP488" s="95"/>
      <c r="QQ488" s="96"/>
      <c r="QR488" s="97"/>
      <c r="QS488" s="97"/>
      <c r="QT488" s="97"/>
      <c r="QU488" s="97"/>
      <c r="QV488" s="97"/>
      <c r="QW488" s="97"/>
      <c r="QX488" s="97"/>
      <c r="QY488" s="97"/>
      <c r="RA488" s="94"/>
      <c r="RB488" s="94"/>
      <c r="RC488" s="95"/>
      <c r="RD488" s="96"/>
      <c r="RE488" s="97"/>
      <c r="RF488" s="97"/>
      <c r="RG488" s="97"/>
      <c r="RH488" s="97"/>
      <c r="RI488" s="97"/>
      <c r="RJ488" s="97"/>
      <c r="RK488" s="97"/>
      <c r="RL488" s="97"/>
      <c r="RN488" s="94"/>
      <c r="RO488" s="94"/>
      <c r="RP488" s="95"/>
      <c r="RQ488" s="96"/>
      <c r="RR488" s="97"/>
      <c r="RS488" s="97"/>
      <c r="RT488" s="97"/>
      <c r="RU488" s="97"/>
      <c r="RV488" s="97"/>
      <c r="RW488" s="97"/>
      <c r="RX488" s="97"/>
      <c r="RY488" s="97"/>
      <c r="SA488" s="94"/>
      <c r="SB488" s="94"/>
      <c r="SC488" s="95"/>
      <c r="SD488" s="96"/>
      <c r="SE488" s="97"/>
      <c r="SF488" s="97"/>
      <c r="SG488" s="97"/>
      <c r="SH488" s="97"/>
      <c r="SI488" s="97"/>
      <c r="SJ488" s="97"/>
      <c r="SK488" s="97"/>
      <c r="SL488" s="97"/>
      <c r="SN488" s="94"/>
      <c r="SO488" s="94"/>
      <c r="SP488" s="95"/>
      <c r="SQ488" s="96"/>
      <c r="SR488" s="97"/>
      <c r="SS488" s="97"/>
      <c r="ST488" s="97"/>
      <c r="SU488" s="97"/>
      <c r="SV488" s="97"/>
      <c r="SW488" s="97"/>
      <c r="SX488" s="97"/>
      <c r="SY488" s="97"/>
      <c r="TA488" s="94"/>
      <c r="TB488" s="94"/>
      <c r="TC488" s="95"/>
      <c r="TD488" s="96"/>
      <c r="TE488" s="97"/>
      <c r="TF488" s="97"/>
      <c r="TG488" s="97"/>
      <c r="TH488" s="97"/>
      <c r="TI488" s="97"/>
      <c r="TJ488" s="97"/>
      <c r="TK488" s="97"/>
      <c r="TL488" s="97"/>
      <c r="TN488" s="94"/>
      <c r="TO488" s="94"/>
      <c r="TP488" s="95"/>
      <c r="TQ488" s="96"/>
      <c r="TR488" s="97"/>
      <c r="TS488" s="97"/>
      <c r="TT488" s="97"/>
      <c r="TU488" s="97"/>
      <c r="TV488" s="97"/>
      <c r="TW488" s="97"/>
      <c r="TX488" s="97"/>
      <c r="TY488" s="97"/>
      <c r="UA488" s="94"/>
      <c r="UB488" s="94"/>
      <c r="UC488" s="95"/>
      <c r="UD488" s="96"/>
      <c r="UE488" s="97"/>
      <c r="UF488" s="97"/>
      <c r="UG488" s="97"/>
      <c r="UH488" s="97"/>
      <c r="UI488" s="97"/>
      <c r="UJ488" s="97"/>
      <c r="UK488" s="97"/>
      <c r="UL488" s="97"/>
      <c r="UN488" s="94"/>
      <c r="UO488" s="94"/>
      <c r="UP488" s="95"/>
      <c r="UQ488" s="96"/>
      <c r="UR488" s="97"/>
      <c r="US488" s="97"/>
      <c r="UT488" s="97"/>
      <c r="UU488" s="97"/>
      <c r="UV488" s="97"/>
      <c r="UW488" s="97"/>
      <c r="UX488" s="97"/>
      <c r="UY488" s="97"/>
      <c r="VA488" s="94"/>
      <c r="VB488" s="94"/>
      <c r="VC488" s="95"/>
      <c r="VD488" s="96"/>
      <c r="VE488" s="97"/>
      <c r="VF488" s="97"/>
      <c r="VG488" s="97"/>
      <c r="VH488" s="97"/>
      <c r="VI488" s="97"/>
      <c r="VJ488" s="97"/>
      <c r="VK488" s="97"/>
      <c r="VL488" s="97"/>
      <c r="VN488" s="94"/>
      <c r="VO488" s="94"/>
      <c r="VP488" s="95"/>
      <c r="VQ488" s="96"/>
      <c r="VR488" s="97"/>
      <c r="VS488" s="97"/>
      <c r="VT488" s="97"/>
      <c r="VU488" s="97"/>
      <c r="VV488" s="97"/>
      <c r="VW488" s="97"/>
      <c r="VX488" s="97"/>
      <c r="VY488" s="97"/>
      <c r="WA488" s="94"/>
      <c r="WB488" s="94"/>
      <c r="WC488" s="95"/>
      <c r="WD488" s="96"/>
      <c r="WE488" s="97"/>
      <c r="WF488" s="97"/>
      <c r="WG488" s="97"/>
      <c r="WH488" s="97"/>
      <c r="WI488" s="97"/>
      <c r="WJ488" s="97"/>
      <c r="WK488" s="97"/>
      <c r="WL488" s="97"/>
      <c r="WN488" s="94"/>
      <c r="WO488" s="94"/>
      <c r="WP488" s="95"/>
      <c r="WQ488" s="96"/>
      <c r="WR488" s="97"/>
      <c r="WS488" s="97"/>
      <c r="WT488" s="97"/>
      <c r="WU488" s="97"/>
      <c r="WV488" s="97"/>
      <c r="WW488" s="97"/>
      <c r="WX488" s="97"/>
      <c r="WY488" s="97"/>
      <c r="XA488" s="94"/>
      <c r="XB488" s="94"/>
      <c r="XC488" s="95"/>
      <c r="XD488" s="96"/>
      <c r="XE488" s="97"/>
      <c r="XF488" s="97"/>
      <c r="XG488" s="97"/>
      <c r="XH488" s="97"/>
      <c r="XI488" s="97"/>
      <c r="XJ488" s="97"/>
      <c r="XK488" s="97"/>
      <c r="XL488" s="97"/>
      <c r="XN488" s="94"/>
      <c r="XO488" s="94"/>
      <c r="XP488" s="95"/>
      <c r="XQ488" s="96"/>
      <c r="XR488" s="97"/>
      <c r="XS488" s="97"/>
      <c r="XT488" s="97"/>
      <c r="XU488" s="97"/>
      <c r="XV488" s="97"/>
      <c r="XW488" s="97"/>
      <c r="XX488" s="97"/>
      <c r="XY488" s="97"/>
      <c r="YA488" s="94"/>
      <c r="YB488" s="94"/>
      <c r="YC488" s="95"/>
      <c r="YD488" s="96"/>
      <c r="YE488" s="97"/>
      <c r="YF488" s="97"/>
      <c r="YG488" s="97"/>
      <c r="YH488" s="97"/>
      <c r="YI488" s="97"/>
      <c r="YJ488" s="97"/>
      <c r="YK488" s="97"/>
      <c r="YL488" s="97"/>
      <c r="YN488" s="94"/>
      <c r="YO488" s="94"/>
      <c r="YP488" s="95"/>
      <c r="YQ488" s="96"/>
      <c r="YR488" s="97"/>
      <c r="YS488" s="97"/>
      <c r="YT488" s="97"/>
      <c r="YU488" s="97"/>
      <c r="YV488" s="97"/>
      <c r="YW488" s="97"/>
      <c r="YX488" s="97"/>
      <c r="YY488" s="97"/>
      <c r="ZA488" s="94"/>
      <c r="ZB488" s="94"/>
      <c r="ZC488" s="95"/>
      <c r="ZD488" s="96"/>
      <c r="ZE488" s="97"/>
      <c r="ZF488" s="97"/>
      <c r="ZG488" s="97"/>
      <c r="ZH488" s="97"/>
      <c r="ZI488" s="97"/>
      <c r="ZJ488" s="97"/>
      <c r="ZK488" s="97"/>
      <c r="ZL488" s="97"/>
      <c r="ZN488" s="94"/>
      <c r="ZO488" s="94"/>
      <c r="ZP488" s="95"/>
      <c r="ZQ488" s="96"/>
      <c r="ZR488" s="97"/>
      <c r="ZS488" s="97"/>
      <c r="ZT488" s="97"/>
      <c r="ZU488" s="97"/>
      <c r="ZV488" s="97"/>
      <c r="ZW488" s="97"/>
      <c r="ZX488" s="97"/>
      <c r="ZY488" s="97"/>
      <c r="AAA488" s="94"/>
      <c r="AAB488" s="94"/>
      <c r="AAC488" s="95"/>
      <c r="AAD488" s="96"/>
      <c r="AAE488" s="97"/>
      <c r="AAF488" s="97"/>
      <c r="AAG488" s="97"/>
      <c r="AAH488" s="97"/>
      <c r="AAI488" s="97"/>
      <c r="AAJ488" s="97"/>
      <c r="AAK488" s="97"/>
      <c r="AAL488" s="97"/>
      <c r="AAN488" s="94"/>
      <c r="AAO488" s="94"/>
      <c r="AAP488" s="95"/>
      <c r="AAQ488" s="96"/>
      <c r="AAR488" s="97"/>
      <c r="AAS488" s="97"/>
      <c r="AAT488" s="97"/>
      <c r="AAU488" s="97"/>
      <c r="AAV488" s="97"/>
      <c r="AAW488" s="97"/>
      <c r="AAX488" s="97"/>
      <c r="AAY488" s="97"/>
      <c r="ABA488" s="94"/>
      <c r="ABB488" s="94"/>
      <c r="ABC488" s="95"/>
      <c r="ABD488" s="96"/>
      <c r="ABE488" s="97"/>
      <c r="ABF488" s="97"/>
      <c r="ABG488" s="97"/>
      <c r="ABH488" s="97"/>
      <c r="ABI488" s="97"/>
      <c r="ABJ488" s="97"/>
      <c r="ABK488" s="97"/>
      <c r="ABL488" s="97"/>
      <c r="ABN488" s="94"/>
      <c r="ABO488" s="94"/>
      <c r="ABP488" s="95"/>
      <c r="ABQ488" s="96"/>
      <c r="ABR488" s="97"/>
      <c r="ABS488" s="97"/>
      <c r="ABT488" s="97"/>
      <c r="ABU488" s="97"/>
      <c r="ABV488" s="97"/>
      <c r="ABW488" s="97"/>
      <c r="ABX488" s="97"/>
      <c r="ABY488" s="97"/>
      <c r="ACA488" s="94"/>
      <c r="ACB488" s="94"/>
      <c r="ACC488" s="95"/>
      <c r="ACD488" s="96"/>
      <c r="ACE488" s="97"/>
      <c r="ACF488" s="97"/>
      <c r="ACG488" s="97"/>
      <c r="ACH488" s="97"/>
      <c r="ACI488" s="97"/>
      <c r="ACJ488" s="97"/>
      <c r="ACK488" s="97"/>
      <c r="ACL488" s="97"/>
      <c r="ACN488" s="94"/>
      <c r="ACO488" s="94"/>
      <c r="ACP488" s="95"/>
      <c r="ACQ488" s="96"/>
      <c r="ACR488" s="97"/>
      <c r="ACS488" s="97"/>
      <c r="ACT488" s="97"/>
      <c r="ACU488" s="97"/>
      <c r="ACV488" s="97"/>
      <c r="ACW488" s="97"/>
      <c r="ACX488" s="97"/>
      <c r="ACY488" s="97"/>
      <c r="ADA488" s="94"/>
      <c r="ADB488" s="94"/>
      <c r="ADC488" s="95"/>
      <c r="ADD488" s="96"/>
      <c r="ADE488" s="97"/>
      <c r="ADF488" s="97"/>
      <c r="ADG488" s="97"/>
      <c r="ADH488" s="97"/>
      <c r="ADI488" s="97"/>
      <c r="ADJ488" s="97"/>
      <c r="ADK488" s="97"/>
      <c r="ADL488" s="97"/>
      <c r="ADN488" s="94"/>
      <c r="ADO488" s="94"/>
      <c r="ADP488" s="95"/>
      <c r="ADQ488" s="96"/>
      <c r="ADR488" s="97"/>
      <c r="ADS488" s="97"/>
      <c r="ADT488" s="97"/>
      <c r="ADU488" s="97"/>
      <c r="ADV488" s="97"/>
      <c r="ADW488" s="97"/>
      <c r="ADX488" s="97"/>
      <c r="ADY488" s="97"/>
      <c r="AEA488" s="94"/>
      <c r="AEB488" s="94"/>
      <c r="AEC488" s="95"/>
      <c r="AED488" s="96"/>
      <c r="AEE488" s="97"/>
      <c r="AEF488" s="97"/>
      <c r="AEG488" s="97"/>
      <c r="AEH488" s="97"/>
      <c r="AEI488" s="97"/>
      <c r="AEJ488" s="97"/>
      <c r="AEK488" s="97"/>
      <c r="AEL488" s="97"/>
      <c r="AEN488" s="94"/>
      <c r="AEO488" s="94"/>
      <c r="AEP488" s="95"/>
      <c r="AEQ488" s="96"/>
      <c r="AER488" s="97"/>
      <c r="AES488" s="97"/>
      <c r="AET488" s="97"/>
      <c r="AEU488" s="97"/>
      <c r="AEV488" s="97"/>
      <c r="AEW488" s="97"/>
      <c r="AEX488" s="97"/>
      <c r="AEY488" s="97"/>
      <c r="AFA488" s="94"/>
      <c r="AFB488" s="94"/>
      <c r="AFC488" s="95"/>
      <c r="AFD488" s="96"/>
      <c r="AFE488" s="97"/>
      <c r="AFF488" s="97"/>
      <c r="AFG488" s="97"/>
      <c r="AFH488" s="97"/>
      <c r="AFI488" s="97"/>
      <c r="AFJ488" s="97"/>
      <c r="AFK488" s="97"/>
      <c r="AFL488" s="97"/>
      <c r="AFN488" s="94"/>
      <c r="AFO488" s="94"/>
      <c r="AFP488" s="95"/>
      <c r="AFQ488" s="96"/>
      <c r="AFR488" s="97"/>
      <c r="AFS488" s="97"/>
      <c r="AFT488" s="97"/>
      <c r="AFU488" s="97"/>
      <c r="AFV488" s="97"/>
      <c r="AFW488" s="97"/>
      <c r="AFX488" s="97"/>
      <c r="AFY488" s="97"/>
      <c r="AGA488" s="94"/>
      <c r="AGB488" s="94"/>
      <c r="AGC488" s="95"/>
      <c r="AGD488" s="96"/>
      <c r="AGE488" s="97"/>
      <c r="AGF488" s="97"/>
      <c r="AGG488" s="97"/>
      <c r="AGH488" s="97"/>
      <c r="AGI488" s="97"/>
      <c r="AGJ488" s="97"/>
      <c r="AGK488" s="97"/>
      <c r="AGL488" s="97"/>
      <c r="AGN488" s="94"/>
      <c r="AGO488" s="94"/>
      <c r="AGP488" s="95"/>
      <c r="AGQ488" s="96"/>
      <c r="AGR488" s="97"/>
      <c r="AGS488" s="97"/>
      <c r="AGT488" s="97"/>
      <c r="AGU488" s="97"/>
      <c r="AGV488" s="97"/>
      <c r="AGW488" s="97"/>
      <c r="AGX488" s="97"/>
      <c r="AGY488" s="97"/>
      <c r="AHA488" s="94"/>
      <c r="AHB488" s="94"/>
      <c r="AHC488" s="95"/>
      <c r="AHD488" s="96"/>
      <c r="AHE488" s="97"/>
      <c r="AHF488" s="97"/>
      <c r="AHG488" s="97"/>
      <c r="AHH488" s="97"/>
      <c r="AHI488" s="97"/>
      <c r="AHJ488" s="97"/>
      <c r="AHK488" s="97"/>
      <c r="AHL488" s="97"/>
      <c r="AHN488" s="94"/>
      <c r="AHO488" s="94"/>
      <c r="AHP488" s="95"/>
      <c r="AHQ488" s="96"/>
      <c r="AHR488" s="97"/>
      <c r="AHS488" s="97"/>
      <c r="AHT488" s="97"/>
      <c r="AHU488" s="97"/>
      <c r="AHV488" s="97"/>
      <c r="AHW488" s="97"/>
      <c r="AHX488" s="97"/>
      <c r="AHY488" s="97"/>
      <c r="AIA488" s="94"/>
      <c r="AIB488" s="94"/>
      <c r="AIC488" s="95"/>
      <c r="AID488" s="96"/>
      <c r="AIE488" s="97"/>
      <c r="AIF488" s="97"/>
      <c r="AIG488" s="97"/>
      <c r="AIH488" s="97"/>
      <c r="AII488" s="97"/>
      <c r="AIJ488" s="97"/>
      <c r="AIK488" s="97"/>
      <c r="AIL488" s="97"/>
      <c r="AIN488" s="94"/>
      <c r="AIO488" s="94"/>
      <c r="AIP488" s="95"/>
      <c r="AIQ488" s="96"/>
      <c r="AIR488" s="97"/>
      <c r="AIS488" s="97"/>
      <c r="AIT488" s="97"/>
      <c r="AIU488" s="97"/>
      <c r="AIV488" s="97"/>
      <c r="AIW488" s="97"/>
      <c r="AIX488" s="97"/>
      <c r="AIY488" s="97"/>
      <c r="AJA488" s="94"/>
      <c r="AJB488" s="94"/>
      <c r="AJC488" s="95"/>
      <c r="AJD488" s="96"/>
      <c r="AJE488" s="97"/>
      <c r="AJF488" s="97"/>
      <c r="AJG488" s="97"/>
      <c r="AJH488" s="97"/>
      <c r="AJI488" s="97"/>
      <c r="AJJ488" s="97"/>
      <c r="AJK488" s="97"/>
      <c r="AJL488" s="97"/>
      <c r="AJN488" s="94"/>
      <c r="AJO488" s="94"/>
      <c r="AJP488" s="95"/>
      <c r="AJQ488" s="96"/>
      <c r="AJR488" s="97"/>
      <c r="AJS488" s="97"/>
      <c r="AJT488" s="97"/>
      <c r="AJU488" s="97"/>
      <c r="AJV488" s="97"/>
      <c r="AJW488" s="97"/>
      <c r="AJX488" s="97"/>
      <c r="AJY488" s="97"/>
      <c r="AKA488" s="94"/>
      <c r="AKB488" s="94"/>
      <c r="AKC488" s="95"/>
      <c r="AKD488" s="96"/>
      <c r="AKE488" s="97"/>
      <c r="AKF488" s="97"/>
      <c r="AKG488" s="97"/>
      <c r="AKH488" s="97"/>
      <c r="AKI488" s="97"/>
      <c r="AKJ488" s="97"/>
      <c r="AKK488" s="97"/>
      <c r="AKL488" s="97"/>
      <c r="AKN488" s="94"/>
      <c r="AKO488" s="94"/>
      <c r="AKP488" s="95"/>
      <c r="AKQ488" s="96"/>
      <c r="AKR488" s="97"/>
      <c r="AKS488" s="97"/>
      <c r="AKT488" s="97"/>
      <c r="AKU488" s="97"/>
      <c r="AKV488" s="97"/>
      <c r="AKW488" s="97"/>
      <c r="AKX488" s="97"/>
      <c r="AKY488" s="97"/>
      <c r="ALA488" s="94"/>
      <c r="ALB488" s="94"/>
      <c r="ALC488" s="95"/>
      <c r="ALD488" s="96"/>
      <c r="ALE488" s="97"/>
      <c r="ALF488" s="97"/>
      <c r="ALG488" s="97"/>
      <c r="ALH488" s="97"/>
      <c r="ALI488" s="97"/>
      <c r="ALJ488" s="97"/>
      <c r="ALK488" s="97"/>
      <c r="ALL488" s="97"/>
      <c r="ALN488" s="94"/>
      <c r="ALO488" s="94"/>
      <c r="ALP488" s="95"/>
      <c r="ALQ488" s="96"/>
      <c r="ALR488" s="97"/>
      <c r="ALS488" s="97"/>
      <c r="ALT488" s="97"/>
      <c r="ALU488" s="97"/>
      <c r="ALV488" s="97"/>
      <c r="ALW488" s="97"/>
      <c r="ALX488" s="97"/>
      <c r="ALY488" s="97"/>
      <c r="AMA488" s="94"/>
      <c r="AMB488" s="94"/>
      <c r="AMC488" s="95"/>
      <c r="AMD488" s="96"/>
      <c r="AME488" s="97"/>
      <c r="AMF488" s="97"/>
      <c r="AMG488" s="97"/>
      <c r="AMH488" s="97"/>
      <c r="AMI488" s="97"/>
      <c r="AMJ488" s="97"/>
      <c r="AMK488" s="97"/>
      <c r="AML488" s="97"/>
      <c r="AMN488" s="94"/>
      <c r="AMO488" s="94"/>
      <c r="AMP488" s="95"/>
      <c r="AMQ488" s="96"/>
      <c r="AMR488" s="97"/>
      <c r="AMS488" s="97"/>
      <c r="AMT488" s="97"/>
      <c r="AMU488" s="97"/>
      <c r="AMV488" s="97"/>
      <c r="AMW488" s="97"/>
      <c r="AMX488" s="97"/>
      <c r="AMY488" s="97"/>
      <c r="ANA488" s="94"/>
      <c r="ANB488" s="94"/>
      <c r="ANC488" s="95"/>
      <c r="AND488" s="96"/>
      <c r="ANE488" s="97"/>
      <c r="ANF488" s="97"/>
      <c r="ANG488" s="97"/>
      <c r="ANH488" s="97"/>
      <c r="ANI488" s="97"/>
      <c r="ANJ488" s="97"/>
      <c r="ANK488" s="97"/>
      <c r="ANL488" s="97"/>
      <c r="ANN488" s="94"/>
      <c r="ANO488" s="94"/>
      <c r="ANP488" s="95"/>
      <c r="ANQ488" s="96"/>
      <c r="ANR488" s="97"/>
      <c r="ANS488" s="97"/>
      <c r="ANT488" s="97"/>
      <c r="ANU488" s="97"/>
      <c r="ANV488" s="97"/>
      <c r="ANW488" s="97"/>
      <c r="ANX488" s="97"/>
      <c r="ANY488" s="97"/>
      <c r="AOA488" s="94"/>
      <c r="AOB488" s="94"/>
      <c r="AOC488" s="95"/>
      <c r="AOD488" s="96"/>
      <c r="AOE488" s="97"/>
      <c r="AOF488" s="97"/>
      <c r="AOG488" s="97"/>
      <c r="AOH488" s="97"/>
      <c r="AOI488" s="97"/>
      <c r="AOJ488" s="97"/>
      <c r="AOK488" s="97"/>
      <c r="AOL488" s="97"/>
      <c r="AON488" s="94"/>
      <c r="AOO488" s="94"/>
      <c r="AOP488" s="95"/>
      <c r="AOQ488" s="96"/>
      <c r="AOR488" s="97"/>
      <c r="AOS488" s="97"/>
      <c r="AOT488" s="97"/>
      <c r="AOU488" s="97"/>
      <c r="AOV488" s="97"/>
      <c r="AOW488" s="97"/>
      <c r="AOX488" s="97"/>
      <c r="AOY488" s="97"/>
      <c r="APA488" s="94"/>
      <c r="APB488" s="94"/>
      <c r="APC488" s="95"/>
      <c r="APD488" s="96"/>
      <c r="APE488" s="97"/>
      <c r="APF488" s="97"/>
      <c r="APG488" s="97"/>
      <c r="APH488" s="97"/>
      <c r="API488" s="97"/>
      <c r="APJ488" s="97"/>
      <c r="APK488" s="97"/>
      <c r="APL488" s="97"/>
      <c r="APN488" s="94"/>
      <c r="APO488" s="94"/>
      <c r="APP488" s="95"/>
      <c r="APQ488" s="96"/>
      <c r="APR488" s="97"/>
      <c r="APS488" s="97"/>
      <c r="APT488" s="97"/>
      <c r="APU488" s="97"/>
      <c r="APV488" s="97"/>
      <c r="APW488" s="97"/>
      <c r="APX488" s="97"/>
      <c r="APY488" s="97"/>
      <c r="AQA488" s="94"/>
      <c r="AQB488" s="94"/>
      <c r="AQC488" s="95"/>
      <c r="AQD488" s="96"/>
      <c r="AQE488" s="97"/>
      <c r="AQF488" s="97"/>
      <c r="AQG488" s="97"/>
      <c r="AQH488" s="97"/>
      <c r="AQI488" s="97"/>
      <c r="AQJ488" s="97"/>
      <c r="AQK488" s="97"/>
      <c r="AQL488" s="97"/>
      <c r="AQN488" s="94"/>
      <c r="AQO488" s="94"/>
      <c r="AQP488" s="95"/>
      <c r="AQQ488" s="96"/>
      <c r="AQR488" s="97"/>
      <c r="AQS488" s="97"/>
      <c r="AQT488" s="97"/>
      <c r="AQU488" s="97"/>
      <c r="AQV488" s="97"/>
      <c r="AQW488" s="97"/>
      <c r="AQX488" s="97"/>
      <c r="AQY488" s="97"/>
      <c r="ARA488" s="94"/>
      <c r="ARB488" s="94"/>
      <c r="ARC488" s="95"/>
      <c r="ARD488" s="96"/>
      <c r="ARE488" s="97"/>
      <c r="ARF488" s="97"/>
      <c r="ARG488" s="97"/>
      <c r="ARH488" s="97"/>
      <c r="ARI488" s="97"/>
      <c r="ARJ488" s="97"/>
      <c r="ARK488" s="97"/>
      <c r="ARL488" s="97"/>
      <c r="ARN488" s="94"/>
      <c r="ARO488" s="94"/>
      <c r="ARP488" s="95"/>
      <c r="ARQ488" s="96"/>
      <c r="ARR488" s="97"/>
      <c r="ARS488" s="97"/>
      <c r="ART488" s="97"/>
      <c r="ARU488" s="97"/>
      <c r="ARV488" s="97"/>
      <c r="ARW488" s="97"/>
      <c r="ARX488" s="97"/>
      <c r="ARY488" s="97"/>
      <c r="ASA488" s="94"/>
      <c r="ASB488" s="94"/>
      <c r="ASC488" s="95"/>
      <c r="ASD488" s="96"/>
      <c r="ASE488" s="97"/>
      <c r="ASF488" s="97"/>
      <c r="ASG488" s="97"/>
      <c r="ASH488" s="97"/>
      <c r="ASI488" s="97"/>
      <c r="ASJ488" s="97"/>
      <c r="ASK488" s="97"/>
      <c r="ASL488" s="97"/>
      <c r="ASN488" s="94"/>
      <c r="ASO488" s="94"/>
      <c r="ASP488" s="95"/>
      <c r="ASQ488" s="96"/>
      <c r="ASR488" s="97"/>
      <c r="ASS488" s="97"/>
      <c r="AST488" s="97"/>
      <c r="ASU488" s="97"/>
      <c r="ASV488" s="97"/>
      <c r="ASW488" s="97"/>
      <c r="ASX488" s="97"/>
      <c r="ASY488" s="97"/>
      <c r="ATA488" s="94"/>
      <c r="ATB488" s="94"/>
      <c r="ATC488" s="95"/>
      <c r="ATD488" s="96"/>
      <c r="ATE488" s="97"/>
      <c r="ATF488" s="97"/>
      <c r="ATG488" s="97"/>
      <c r="ATH488" s="97"/>
      <c r="ATI488" s="97"/>
      <c r="ATJ488" s="97"/>
      <c r="ATK488" s="97"/>
      <c r="ATL488" s="97"/>
      <c r="ATN488" s="94"/>
      <c r="ATO488" s="94"/>
      <c r="ATP488" s="95"/>
      <c r="ATQ488" s="96"/>
      <c r="ATR488" s="97"/>
      <c r="ATS488" s="97"/>
      <c r="ATT488" s="97"/>
      <c r="ATU488" s="97"/>
      <c r="ATV488" s="97"/>
      <c r="ATW488" s="97"/>
      <c r="ATX488" s="97"/>
      <c r="ATY488" s="97"/>
      <c r="AUA488" s="94"/>
      <c r="AUB488" s="94"/>
      <c r="AUC488" s="95"/>
      <c r="AUD488" s="96"/>
      <c r="AUE488" s="97"/>
      <c r="AUF488" s="97"/>
      <c r="AUG488" s="97"/>
      <c r="AUH488" s="97"/>
      <c r="AUI488" s="97"/>
      <c r="AUJ488" s="97"/>
      <c r="AUK488" s="97"/>
      <c r="AUL488" s="97"/>
      <c r="AUN488" s="94"/>
      <c r="AUO488" s="94"/>
      <c r="AUP488" s="95"/>
      <c r="AUQ488" s="96"/>
      <c r="AUR488" s="97"/>
      <c r="AUS488" s="97"/>
      <c r="AUT488" s="97"/>
      <c r="AUU488" s="97"/>
      <c r="AUV488" s="97"/>
      <c r="AUW488" s="97"/>
      <c r="AUX488" s="97"/>
      <c r="AUY488" s="97"/>
      <c r="AVA488" s="94"/>
      <c r="AVB488" s="94"/>
      <c r="AVC488" s="95"/>
      <c r="AVD488" s="96"/>
      <c r="AVE488" s="97"/>
      <c r="AVF488" s="97"/>
      <c r="AVG488" s="97"/>
      <c r="AVH488" s="97"/>
      <c r="AVI488" s="97"/>
      <c r="AVJ488" s="97"/>
      <c r="AVK488" s="97"/>
      <c r="AVL488" s="97"/>
      <c r="AVN488" s="94"/>
      <c r="AVO488" s="94"/>
      <c r="AVP488" s="95"/>
      <c r="AVQ488" s="96"/>
      <c r="AVR488" s="97"/>
      <c r="AVS488" s="97"/>
      <c r="AVT488" s="97"/>
      <c r="AVU488" s="97"/>
      <c r="AVV488" s="97"/>
      <c r="AVW488" s="97"/>
      <c r="AVX488" s="97"/>
      <c r="AVY488" s="97"/>
      <c r="AWA488" s="94"/>
      <c r="AWB488" s="94"/>
      <c r="AWC488" s="95"/>
      <c r="AWD488" s="96"/>
      <c r="AWE488" s="97"/>
      <c r="AWF488" s="97"/>
      <c r="AWG488" s="97"/>
      <c r="AWH488" s="97"/>
      <c r="AWI488" s="97"/>
      <c r="AWJ488" s="97"/>
      <c r="AWK488" s="97"/>
      <c r="AWL488" s="97"/>
      <c r="AWN488" s="94"/>
      <c r="AWO488" s="94"/>
      <c r="AWP488" s="95"/>
      <c r="AWQ488" s="96"/>
      <c r="AWR488" s="97"/>
      <c r="AWS488" s="97"/>
      <c r="AWT488" s="97"/>
      <c r="AWU488" s="97"/>
      <c r="AWV488" s="97"/>
      <c r="AWW488" s="97"/>
      <c r="AWX488" s="97"/>
      <c r="AWY488" s="97"/>
      <c r="AXA488" s="94"/>
      <c r="AXB488" s="94"/>
      <c r="AXC488" s="95"/>
      <c r="AXD488" s="96"/>
      <c r="AXE488" s="97"/>
      <c r="AXF488" s="97"/>
      <c r="AXG488" s="97"/>
      <c r="AXH488" s="97"/>
      <c r="AXI488" s="97"/>
      <c r="AXJ488" s="97"/>
      <c r="AXK488" s="97"/>
      <c r="AXL488" s="97"/>
      <c r="AXN488" s="94"/>
      <c r="AXO488" s="94"/>
      <c r="AXP488" s="95"/>
      <c r="AXQ488" s="96"/>
      <c r="AXR488" s="97"/>
      <c r="AXS488" s="97"/>
      <c r="AXT488" s="97"/>
      <c r="AXU488" s="97"/>
      <c r="AXV488" s="97"/>
      <c r="AXW488" s="97"/>
      <c r="AXX488" s="97"/>
      <c r="AXY488" s="97"/>
      <c r="AYA488" s="94"/>
      <c r="AYB488" s="94"/>
      <c r="AYC488" s="95"/>
      <c r="AYD488" s="96"/>
      <c r="AYE488" s="97"/>
      <c r="AYF488" s="97"/>
      <c r="AYG488" s="97"/>
      <c r="AYH488" s="97"/>
      <c r="AYI488" s="97"/>
      <c r="AYJ488" s="97"/>
      <c r="AYK488" s="97"/>
      <c r="AYL488" s="97"/>
      <c r="AYN488" s="94"/>
      <c r="AYO488" s="94"/>
      <c r="AYP488" s="95"/>
      <c r="AYQ488" s="96"/>
      <c r="AYR488" s="97"/>
      <c r="AYS488" s="97"/>
      <c r="AYT488" s="97"/>
      <c r="AYU488" s="97"/>
      <c r="AYV488" s="97"/>
      <c r="AYW488" s="97"/>
      <c r="AYX488" s="97"/>
      <c r="AYY488" s="97"/>
      <c r="AZA488" s="94"/>
      <c r="AZB488" s="94"/>
      <c r="AZC488" s="95"/>
      <c r="AZD488" s="96"/>
      <c r="AZE488" s="97"/>
      <c r="AZF488" s="97"/>
      <c r="AZG488" s="97"/>
      <c r="AZH488" s="97"/>
      <c r="AZI488" s="97"/>
      <c r="AZJ488" s="97"/>
      <c r="AZK488" s="97"/>
      <c r="AZL488" s="97"/>
      <c r="AZN488" s="94"/>
      <c r="AZO488" s="94"/>
      <c r="AZP488" s="95"/>
      <c r="AZQ488" s="96"/>
      <c r="AZR488" s="97"/>
      <c r="AZS488" s="97"/>
      <c r="AZT488" s="97"/>
      <c r="AZU488" s="97"/>
      <c r="AZV488" s="97"/>
      <c r="AZW488" s="97"/>
      <c r="AZX488" s="97"/>
      <c r="AZY488" s="97"/>
      <c r="BAA488" s="94"/>
      <c r="BAB488" s="94"/>
      <c r="BAC488" s="95"/>
      <c r="BAD488" s="96"/>
      <c r="BAE488" s="97"/>
      <c r="BAF488" s="97"/>
      <c r="BAG488" s="97"/>
      <c r="BAH488" s="97"/>
      <c r="BAI488" s="97"/>
      <c r="BAJ488" s="97"/>
      <c r="BAK488" s="97"/>
      <c r="BAL488" s="97"/>
      <c r="BAN488" s="94"/>
      <c r="BAO488" s="94"/>
      <c r="BAP488" s="95"/>
      <c r="BAQ488" s="96"/>
      <c r="BAR488" s="97"/>
      <c r="BAS488" s="97"/>
      <c r="BAT488" s="97"/>
      <c r="BAU488" s="97"/>
      <c r="BAV488" s="97"/>
      <c r="BAW488" s="97"/>
      <c r="BAX488" s="97"/>
      <c r="BAY488" s="97"/>
      <c r="BBA488" s="94"/>
      <c r="BBB488" s="94"/>
      <c r="BBC488" s="95"/>
      <c r="BBD488" s="96"/>
      <c r="BBE488" s="97"/>
      <c r="BBF488" s="97"/>
      <c r="BBG488" s="97"/>
      <c r="BBH488" s="97"/>
      <c r="BBI488" s="97"/>
      <c r="BBJ488" s="97"/>
      <c r="BBK488" s="97"/>
      <c r="BBL488" s="97"/>
      <c r="BBN488" s="94"/>
      <c r="BBO488" s="94"/>
      <c r="BBP488" s="95"/>
      <c r="BBQ488" s="96"/>
      <c r="BBR488" s="97"/>
      <c r="BBS488" s="97"/>
      <c r="BBT488" s="97"/>
      <c r="BBU488" s="97"/>
      <c r="BBV488" s="97"/>
      <c r="BBW488" s="97"/>
      <c r="BBX488" s="97"/>
      <c r="BBY488" s="97"/>
      <c r="BCA488" s="94"/>
      <c r="BCB488" s="94"/>
      <c r="BCC488" s="95"/>
      <c r="BCD488" s="96"/>
      <c r="BCE488" s="97"/>
      <c r="BCF488" s="97"/>
      <c r="BCG488" s="97"/>
      <c r="BCH488" s="97"/>
      <c r="BCI488" s="97"/>
      <c r="BCJ488" s="97"/>
      <c r="BCK488" s="97"/>
      <c r="BCL488" s="97"/>
      <c r="BCN488" s="94"/>
      <c r="BCO488" s="94"/>
      <c r="BCP488" s="95"/>
      <c r="BCQ488" s="96"/>
      <c r="BCR488" s="97"/>
      <c r="BCS488" s="97"/>
      <c r="BCT488" s="97"/>
      <c r="BCU488" s="97"/>
      <c r="BCV488" s="97"/>
      <c r="BCW488" s="97"/>
      <c r="BCX488" s="97"/>
      <c r="BCY488" s="97"/>
      <c r="BDA488" s="94"/>
      <c r="BDB488" s="94"/>
      <c r="BDC488" s="95"/>
      <c r="BDD488" s="96"/>
      <c r="BDE488" s="97"/>
      <c r="BDF488" s="97"/>
      <c r="BDG488" s="97"/>
      <c r="BDH488" s="97"/>
      <c r="BDI488" s="97"/>
      <c r="BDJ488" s="97"/>
      <c r="BDK488" s="97"/>
      <c r="BDL488" s="97"/>
      <c r="BDN488" s="94"/>
      <c r="BDO488" s="94"/>
      <c r="BDP488" s="95"/>
      <c r="BDQ488" s="96"/>
      <c r="BDR488" s="97"/>
      <c r="BDS488" s="97"/>
      <c r="BDT488" s="97"/>
      <c r="BDU488" s="97"/>
      <c r="BDV488" s="97"/>
      <c r="BDW488" s="97"/>
      <c r="BDX488" s="97"/>
      <c r="BDY488" s="97"/>
      <c r="BEA488" s="94"/>
      <c r="BEB488" s="94"/>
      <c r="BEC488" s="95"/>
      <c r="BED488" s="96"/>
      <c r="BEE488" s="97"/>
      <c r="BEF488" s="97"/>
      <c r="BEG488" s="97"/>
      <c r="BEH488" s="97"/>
      <c r="BEI488" s="97"/>
      <c r="BEJ488" s="97"/>
      <c r="BEK488" s="97"/>
      <c r="BEL488" s="97"/>
      <c r="BEN488" s="94"/>
      <c r="BEO488" s="94"/>
      <c r="BEP488" s="95"/>
      <c r="BEQ488" s="96"/>
      <c r="BER488" s="97"/>
      <c r="BES488" s="97"/>
      <c r="BET488" s="97"/>
      <c r="BEU488" s="97"/>
      <c r="BEV488" s="97"/>
      <c r="BEW488" s="97"/>
      <c r="BEX488" s="97"/>
      <c r="BEY488" s="97"/>
      <c r="BFA488" s="94"/>
      <c r="BFB488" s="94"/>
      <c r="BFC488" s="95"/>
      <c r="BFD488" s="96"/>
      <c r="BFE488" s="97"/>
      <c r="BFF488" s="97"/>
      <c r="BFG488" s="97"/>
      <c r="BFH488" s="97"/>
      <c r="BFI488" s="97"/>
      <c r="BFJ488" s="97"/>
      <c r="BFK488" s="97"/>
      <c r="BFL488" s="97"/>
      <c r="BFN488" s="94"/>
      <c r="BFO488" s="94"/>
      <c r="BFP488" s="95"/>
      <c r="BFQ488" s="96"/>
      <c r="BFR488" s="97"/>
      <c r="BFS488" s="97"/>
      <c r="BFT488" s="97"/>
      <c r="BFU488" s="97"/>
      <c r="BFV488" s="97"/>
      <c r="BFW488" s="97"/>
      <c r="BFX488" s="97"/>
      <c r="BFY488" s="97"/>
      <c r="BGA488" s="94"/>
      <c r="BGB488" s="94"/>
      <c r="BGC488" s="95"/>
      <c r="BGD488" s="96"/>
      <c r="BGE488" s="97"/>
      <c r="BGF488" s="97"/>
      <c r="BGG488" s="97"/>
      <c r="BGH488" s="97"/>
      <c r="BGI488" s="97"/>
      <c r="BGJ488" s="97"/>
      <c r="BGK488" s="97"/>
      <c r="BGL488" s="97"/>
      <c r="BGN488" s="94"/>
      <c r="BGO488" s="94"/>
      <c r="BGP488" s="95"/>
      <c r="BGQ488" s="96"/>
      <c r="BGR488" s="97"/>
      <c r="BGS488" s="97"/>
      <c r="BGT488" s="97"/>
      <c r="BGU488" s="97"/>
      <c r="BGV488" s="97"/>
      <c r="BGW488" s="97"/>
      <c r="BGX488" s="97"/>
      <c r="BGY488" s="97"/>
      <c r="BHA488" s="94"/>
      <c r="BHB488" s="94"/>
      <c r="BHC488" s="95"/>
      <c r="BHD488" s="96"/>
      <c r="BHE488" s="97"/>
      <c r="BHF488" s="97"/>
      <c r="BHG488" s="97"/>
      <c r="BHH488" s="97"/>
      <c r="BHI488" s="97"/>
      <c r="BHJ488" s="97"/>
      <c r="BHK488" s="97"/>
      <c r="BHL488" s="97"/>
      <c r="BHN488" s="94"/>
      <c r="BHO488" s="94"/>
      <c r="BHP488" s="95"/>
      <c r="BHQ488" s="96"/>
      <c r="BHR488" s="97"/>
      <c r="BHS488" s="97"/>
      <c r="BHT488" s="97"/>
      <c r="BHU488" s="97"/>
      <c r="BHV488" s="97"/>
      <c r="BHW488" s="97"/>
      <c r="BHX488" s="97"/>
      <c r="BHY488" s="97"/>
      <c r="BIA488" s="94"/>
      <c r="BIB488" s="94"/>
      <c r="BIC488" s="95"/>
      <c r="BID488" s="96"/>
      <c r="BIE488" s="97"/>
      <c r="BIF488" s="97"/>
      <c r="BIG488" s="97"/>
      <c r="BIH488" s="97"/>
      <c r="BII488" s="97"/>
      <c r="BIJ488" s="97"/>
      <c r="BIK488" s="97"/>
      <c r="BIL488" s="97"/>
      <c r="BIN488" s="94"/>
      <c r="BIO488" s="94"/>
      <c r="BIP488" s="95"/>
      <c r="BIQ488" s="96"/>
      <c r="BIR488" s="97"/>
      <c r="BIS488" s="97"/>
      <c r="BIT488" s="97"/>
      <c r="BIU488" s="97"/>
      <c r="BIV488" s="97"/>
      <c r="BIW488" s="97"/>
      <c r="BIX488" s="97"/>
      <c r="BIY488" s="97"/>
      <c r="BJA488" s="94"/>
      <c r="BJB488" s="94"/>
      <c r="BJC488" s="95"/>
      <c r="BJD488" s="96"/>
      <c r="BJE488" s="97"/>
      <c r="BJF488" s="97"/>
      <c r="BJG488" s="97"/>
      <c r="BJH488" s="97"/>
      <c r="BJI488" s="97"/>
      <c r="BJJ488" s="97"/>
      <c r="BJK488" s="97"/>
      <c r="BJL488" s="97"/>
      <c r="BJN488" s="94"/>
      <c r="BJO488" s="94"/>
      <c r="BJP488" s="95"/>
      <c r="BJQ488" s="96"/>
      <c r="BJR488" s="97"/>
      <c r="BJS488" s="97"/>
      <c r="BJT488" s="97"/>
      <c r="BJU488" s="97"/>
      <c r="BJV488" s="97"/>
      <c r="BJW488" s="97"/>
      <c r="BJX488" s="97"/>
      <c r="BJY488" s="97"/>
      <c r="BKA488" s="94"/>
      <c r="BKB488" s="94"/>
      <c r="BKC488" s="95"/>
      <c r="BKD488" s="96"/>
      <c r="BKE488" s="97"/>
      <c r="BKF488" s="97"/>
      <c r="BKG488" s="97"/>
      <c r="BKH488" s="97"/>
      <c r="BKI488" s="97"/>
      <c r="BKJ488" s="97"/>
      <c r="BKK488" s="97"/>
      <c r="BKL488" s="97"/>
      <c r="BKN488" s="94"/>
      <c r="BKO488" s="94"/>
      <c r="BKP488" s="95"/>
      <c r="BKQ488" s="96"/>
      <c r="BKR488" s="97"/>
      <c r="BKS488" s="97"/>
      <c r="BKT488" s="97"/>
      <c r="BKU488" s="97"/>
      <c r="BKV488" s="97"/>
      <c r="BKW488" s="97"/>
      <c r="BKX488" s="97"/>
      <c r="BKY488" s="97"/>
      <c r="BLA488" s="94"/>
      <c r="BLB488" s="94"/>
      <c r="BLC488" s="95"/>
      <c r="BLD488" s="96"/>
      <c r="BLE488" s="97"/>
      <c r="BLF488" s="97"/>
      <c r="BLG488" s="97"/>
      <c r="BLH488" s="97"/>
      <c r="BLI488" s="97"/>
      <c r="BLJ488" s="97"/>
      <c r="BLK488" s="97"/>
      <c r="BLL488" s="97"/>
      <c r="BLN488" s="94"/>
      <c r="BLO488" s="94"/>
      <c r="BLP488" s="95"/>
      <c r="BLQ488" s="96"/>
      <c r="BLR488" s="97"/>
      <c r="BLS488" s="97"/>
      <c r="BLT488" s="97"/>
      <c r="BLU488" s="97"/>
      <c r="BLV488" s="97"/>
      <c r="BLW488" s="97"/>
      <c r="BLX488" s="97"/>
      <c r="BLY488" s="97"/>
      <c r="BMA488" s="94"/>
      <c r="BMB488" s="94"/>
      <c r="BMC488" s="95"/>
      <c r="BMD488" s="96"/>
      <c r="BME488" s="97"/>
      <c r="BMF488" s="97"/>
      <c r="BMG488" s="97"/>
      <c r="BMH488" s="97"/>
      <c r="BMI488" s="97"/>
      <c r="BMJ488" s="97"/>
      <c r="BMK488" s="97"/>
      <c r="BML488" s="97"/>
      <c r="BMN488" s="94"/>
      <c r="BMO488" s="94"/>
      <c r="BMP488" s="95"/>
      <c r="BMQ488" s="96"/>
      <c r="BMR488" s="97"/>
      <c r="BMS488" s="97"/>
      <c r="BMT488" s="97"/>
      <c r="BMU488" s="97"/>
      <c r="BMV488" s="97"/>
      <c r="BMW488" s="97"/>
      <c r="BMX488" s="97"/>
      <c r="BMY488" s="97"/>
      <c r="BNA488" s="94"/>
      <c r="BNB488" s="94"/>
      <c r="BNC488" s="95"/>
      <c r="BND488" s="96"/>
      <c r="BNE488" s="97"/>
      <c r="BNF488" s="97"/>
      <c r="BNG488" s="97"/>
      <c r="BNH488" s="97"/>
      <c r="BNI488" s="97"/>
      <c r="BNJ488" s="97"/>
      <c r="BNK488" s="97"/>
      <c r="BNL488" s="97"/>
      <c r="BNN488" s="94"/>
      <c r="BNO488" s="94"/>
      <c r="BNP488" s="95"/>
      <c r="BNQ488" s="96"/>
      <c r="BNR488" s="97"/>
      <c r="BNS488" s="97"/>
      <c r="BNT488" s="97"/>
      <c r="BNU488" s="97"/>
      <c r="BNV488" s="97"/>
      <c r="BNW488" s="97"/>
      <c r="BNX488" s="97"/>
      <c r="BNY488" s="97"/>
      <c r="BOA488" s="94"/>
      <c r="BOB488" s="94"/>
      <c r="BOC488" s="95"/>
      <c r="BOD488" s="96"/>
      <c r="BOE488" s="97"/>
      <c r="BOF488" s="97"/>
      <c r="BOG488" s="97"/>
      <c r="BOH488" s="97"/>
      <c r="BOI488" s="97"/>
      <c r="BOJ488" s="97"/>
      <c r="BOK488" s="97"/>
      <c r="BOL488" s="97"/>
      <c r="BON488" s="94"/>
      <c r="BOO488" s="94"/>
      <c r="BOP488" s="95"/>
      <c r="BOQ488" s="96"/>
      <c r="BOR488" s="97"/>
      <c r="BOS488" s="97"/>
      <c r="BOT488" s="97"/>
      <c r="BOU488" s="97"/>
      <c r="BOV488" s="97"/>
      <c r="BOW488" s="97"/>
      <c r="BOX488" s="97"/>
      <c r="BOY488" s="97"/>
      <c r="BPA488" s="94"/>
      <c r="BPB488" s="94"/>
      <c r="BPC488" s="95"/>
      <c r="BPD488" s="96"/>
      <c r="BPE488" s="97"/>
      <c r="BPF488" s="97"/>
      <c r="BPG488" s="97"/>
      <c r="BPH488" s="97"/>
      <c r="BPI488" s="97"/>
      <c r="BPJ488" s="97"/>
      <c r="BPK488" s="97"/>
      <c r="BPL488" s="97"/>
      <c r="BPN488" s="94"/>
      <c r="BPO488" s="94"/>
      <c r="BPP488" s="95"/>
      <c r="BPQ488" s="96"/>
      <c r="BPR488" s="97"/>
      <c r="BPS488" s="97"/>
      <c r="BPT488" s="97"/>
      <c r="BPU488" s="97"/>
      <c r="BPV488" s="97"/>
      <c r="BPW488" s="97"/>
      <c r="BPX488" s="97"/>
      <c r="BPY488" s="97"/>
      <c r="BQA488" s="94"/>
      <c r="BQB488" s="94"/>
      <c r="BQC488" s="95"/>
      <c r="BQD488" s="96"/>
      <c r="BQE488" s="97"/>
      <c r="BQF488" s="97"/>
      <c r="BQG488" s="97"/>
      <c r="BQH488" s="97"/>
      <c r="BQI488" s="97"/>
      <c r="BQJ488" s="97"/>
      <c r="BQK488" s="97"/>
      <c r="BQL488" s="97"/>
      <c r="BQN488" s="94"/>
      <c r="BQO488" s="94"/>
      <c r="BQP488" s="95"/>
      <c r="BQQ488" s="96"/>
      <c r="BQR488" s="97"/>
      <c r="BQS488" s="97"/>
      <c r="BQT488" s="97"/>
      <c r="BQU488" s="97"/>
      <c r="BQV488" s="97"/>
      <c r="BQW488" s="97"/>
      <c r="BQX488" s="97"/>
      <c r="BQY488" s="97"/>
      <c r="BRA488" s="94"/>
      <c r="BRB488" s="94"/>
      <c r="BRC488" s="95"/>
      <c r="BRD488" s="96"/>
      <c r="BRE488" s="97"/>
      <c r="BRF488" s="97"/>
      <c r="BRG488" s="97"/>
      <c r="BRH488" s="97"/>
      <c r="BRI488" s="97"/>
      <c r="BRJ488" s="97"/>
      <c r="BRK488" s="97"/>
      <c r="BRL488" s="97"/>
      <c r="BRN488" s="94"/>
      <c r="BRO488" s="94"/>
      <c r="BRP488" s="95"/>
      <c r="BRQ488" s="96"/>
      <c r="BRR488" s="97"/>
      <c r="BRS488" s="97"/>
      <c r="BRT488" s="97"/>
      <c r="BRU488" s="97"/>
      <c r="BRV488" s="97"/>
      <c r="BRW488" s="97"/>
      <c r="BRX488" s="97"/>
      <c r="BRY488" s="97"/>
      <c r="BSA488" s="94"/>
      <c r="BSB488" s="94"/>
      <c r="BSC488" s="95"/>
      <c r="BSD488" s="96"/>
      <c r="BSE488" s="97"/>
      <c r="BSF488" s="97"/>
      <c r="BSG488" s="97"/>
      <c r="BSH488" s="97"/>
      <c r="BSI488" s="97"/>
      <c r="BSJ488" s="97"/>
      <c r="BSK488" s="97"/>
      <c r="BSL488" s="97"/>
      <c r="BSN488" s="94"/>
      <c r="BSO488" s="94"/>
      <c r="BSP488" s="95"/>
      <c r="BSQ488" s="96"/>
      <c r="BSR488" s="97"/>
      <c r="BSS488" s="97"/>
      <c r="BST488" s="97"/>
      <c r="BSU488" s="97"/>
      <c r="BSV488" s="97"/>
      <c r="BSW488" s="97"/>
      <c r="BSX488" s="97"/>
      <c r="BSY488" s="97"/>
      <c r="BTA488" s="94"/>
      <c r="BTB488" s="94"/>
      <c r="BTC488" s="95"/>
      <c r="BTD488" s="96"/>
      <c r="BTE488" s="97"/>
      <c r="BTF488" s="97"/>
      <c r="BTG488" s="97"/>
      <c r="BTH488" s="97"/>
      <c r="BTI488" s="97"/>
      <c r="BTJ488" s="97"/>
      <c r="BTK488" s="97"/>
      <c r="BTL488" s="97"/>
      <c r="BTN488" s="94"/>
      <c r="BTO488" s="94"/>
      <c r="BTP488" s="95"/>
      <c r="BTQ488" s="96"/>
      <c r="BTR488" s="97"/>
      <c r="BTS488" s="97"/>
      <c r="BTT488" s="97"/>
      <c r="BTU488" s="97"/>
      <c r="BTV488" s="97"/>
      <c r="BTW488" s="97"/>
      <c r="BTX488" s="97"/>
      <c r="BTY488" s="97"/>
      <c r="BUA488" s="94"/>
      <c r="BUB488" s="94"/>
      <c r="BUC488" s="95"/>
      <c r="BUD488" s="96"/>
      <c r="BUE488" s="97"/>
      <c r="BUF488" s="97"/>
      <c r="BUG488" s="97"/>
      <c r="BUH488" s="97"/>
      <c r="BUI488" s="97"/>
      <c r="BUJ488" s="97"/>
      <c r="BUK488" s="97"/>
      <c r="BUL488" s="97"/>
      <c r="BUN488" s="94"/>
      <c r="BUO488" s="94"/>
      <c r="BUP488" s="95"/>
      <c r="BUQ488" s="96"/>
      <c r="BUR488" s="97"/>
      <c r="BUS488" s="97"/>
      <c r="BUT488" s="97"/>
      <c r="BUU488" s="97"/>
      <c r="BUV488" s="97"/>
      <c r="BUW488" s="97"/>
      <c r="BUX488" s="97"/>
      <c r="BUY488" s="97"/>
      <c r="BVA488" s="94"/>
      <c r="BVB488" s="94"/>
      <c r="BVC488" s="95"/>
      <c r="BVD488" s="96"/>
      <c r="BVE488" s="97"/>
      <c r="BVF488" s="97"/>
      <c r="BVG488" s="97"/>
      <c r="BVH488" s="97"/>
      <c r="BVI488" s="97"/>
      <c r="BVJ488" s="97"/>
      <c r="BVK488" s="97"/>
      <c r="BVL488" s="97"/>
      <c r="BVN488" s="94"/>
      <c r="BVO488" s="94"/>
      <c r="BVP488" s="95"/>
      <c r="BVQ488" s="96"/>
      <c r="BVR488" s="97"/>
      <c r="BVS488" s="97"/>
      <c r="BVT488" s="97"/>
      <c r="BVU488" s="97"/>
      <c r="BVV488" s="97"/>
      <c r="BVW488" s="97"/>
      <c r="BVX488" s="97"/>
      <c r="BVY488" s="97"/>
      <c r="BWA488" s="94"/>
      <c r="BWB488" s="94"/>
      <c r="BWC488" s="95"/>
      <c r="BWD488" s="96"/>
      <c r="BWE488" s="97"/>
      <c r="BWF488" s="97"/>
      <c r="BWG488" s="97"/>
      <c r="BWH488" s="97"/>
      <c r="BWI488" s="97"/>
      <c r="BWJ488" s="97"/>
      <c r="BWK488" s="97"/>
      <c r="BWL488" s="97"/>
      <c r="BWN488" s="94"/>
      <c r="BWO488" s="94"/>
      <c r="BWP488" s="95"/>
      <c r="BWQ488" s="96"/>
      <c r="BWR488" s="97"/>
      <c r="BWS488" s="97"/>
      <c r="BWT488" s="97"/>
      <c r="BWU488" s="97"/>
      <c r="BWV488" s="97"/>
      <c r="BWW488" s="97"/>
      <c r="BWX488" s="97"/>
      <c r="BWY488" s="97"/>
      <c r="BXA488" s="94"/>
      <c r="BXB488" s="94"/>
      <c r="BXC488" s="95"/>
      <c r="BXD488" s="96"/>
      <c r="BXE488" s="97"/>
      <c r="BXF488" s="97"/>
      <c r="BXG488" s="97"/>
      <c r="BXH488" s="97"/>
      <c r="BXI488" s="97"/>
      <c r="BXJ488" s="97"/>
      <c r="BXK488" s="97"/>
      <c r="BXL488" s="97"/>
      <c r="BXN488" s="94"/>
      <c r="BXO488" s="94"/>
      <c r="BXP488" s="95"/>
      <c r="BXQ488" s="96"/>
      <c r="BXR488" s="97"/>
      <c r="BXS488" s="97"/>
      <c r="BXT488" s="97"/>
      <c r="BXU488" s="97"/>
      <c r="BXV488" s="97"/>
      <c r="BXW488" s="97"/>
      <c r="BXX488" s="97"/>
      <c r="BXY488" s="97"/>
      <c r="BYA488" s="94"/>
      <c r="BYB488" s="94"/>
      <c r="BYC488" s="95"/>
      <c r="BYD488" s="96"/>
      <c r="BYE488" s="97"/>
      <c r="BYF488" s="97"/>
      <c r="BYG488" s="97"/>
      <c r="BYH488" s="97"/>
      <c r="BYI488" s="97"/>
      <c r="BYJ488" s="97"/>
      <c r="BYK488" s="97"/>
      <c r="BYL488" s="97"/>
      <c r="BYN488" s="94"/>
      <c r="BYO488" s="94"/>
      <c r="BYP488" s="95"/>
      <c r="BYQ488" s="96"/>
      <c r="BYR488" s="97"/>
      <c r="BYS488" s="97"/>
      <c r="BYT488" s="97"/>
      <c r="BYU488" s="97"/>
      <c r="BYV488" s="97"/>
      <c r="BYW488" s="97"/>
      <c r="BYX488" s="97"/>
      <c r="BYY488" s="97"/>
      <c r="BZA488" s="94"/>
      <c r="BZB488" s="94"/>
      <c r="BZC488" s="95"/>
      <c r="BZD488" s="96"/>
      <c r="BZE488" s="97"/>
      <c r="BZF488" s="97"/>
      <c r="BZG488" s="97"/>
      <c r="BZH488" s="97"/>
      <c r="BZI488" s="97"/>
      <c r="BZJ488" s="97"/>
      <c r="BZK488" s="97"/>
      <c r="BZL488" s="97"/>
      <c r="BZN488" s="94"/>
      <c r="BZO488" s="94"/>
      <c r="BZP488" s="95"/>
      <c r="BZQ488" s="96"/>
      <c r="BZR488" s="97"/>
      <c r="BZS488" s="97"/>
      <c r="BZT488" s="97"/>
      <c r="BZU488" s="97"/>
      <c r="BZV488" s="97"/>
      <c r="BZW488" s="97"/>
      <c r="BZX488" s="97"/>
      <c r="BZY488" s="97"/>
      <c r="CAA488" s="94"/>
      <c r="CAB488" s="94"/>
      <c r="CAC488" s="95"/>
      <c r="CAD488" s="96"/>
      <c r="CAE488" s="97"/>
      <c r="CAF488" s="97"/>
      <c r="CAG488" s="97"/>
      <c r="CAH488" s="97"/>
      <c r="CAI488" s="97"/>
      <c r="CAJ488" s="97"/>
      <c r="CAK488" s="97"/>
      <c r="CAL488" s="97"/>
      <c r="CAN488" s="94"/>
      <c r="CAO488" s="94"/>
      <c r="CAP488" s="95"/>
      <c r="CAQ488" s="96"/>
      <c r="CAR488" s="97"/>
      <c r="CAS488" s="97"/>
      <c r="CAT488" s="97"/>
      <c r="CAU488" s="97"/>
      <c r="CAV488" s="97"/>
      <c r="CAW488" s="97"/>
      <c r="CAX488" s="97"/>
      <c r="CAY488" s="97"/>
      <c r="CBA488" s="94"/>
      <c r="CBB488" s="94"/>
      <c r="CBC488" s="95"/>
      <c r="CBD488" s="96"/>
      <c r="CBE488" s="97"/>
      <c r="CBF488" s="97"/>
      <c r="CBG488" s="97"/>
      <c r="CBH488" s="97"/>
      <c r="CBI488" s="97"/>
      <c r="CBJ488" s="97"/>
      <c r="CBK488" s="97"/>
      <c r="CBL488" s="97"/>
      <c r="CBN488" s="94"/>
      <c r="CBO488" s="94"/>
      <c r="CBP488" s="95"/>
      <c r="CBQ488" s="96"/>
      <c r="CBR488" s="97"/>
      <c r="CBS488" s="97"/>
      <c r="CBT488" s="97"/>
      <c r="CBU488" s="97"/>
      <c r="CBV488" s="97"/>
      <c r="CBW488" s="97"/>
      <c r="CBX488" s="97"/>
      <c r="CBY488" s="97"/>
      <c r="CCA488" s="94"/>
      <c r="CCB488" s="94"/>
      <c r="CCC488" s="95"/>
      <c r="CCD488" s="96"/>
      <c r="CCE488" s="97"/>
      <c r="CCF488" s="97"/>
      <c r="CCG488" s="97"/>
      <c r="CCH488" s="97"/>
      <c r="CCI488" s="97"/>
      <c r="CCJ488" s="97"/>
      <c r="CCK488" s="97"/>
      <c r="CCL488" s="97"/>
      <c r="CCN488" s="94"/>
      <c r="CCO488" s="94"/>
      <c r="CCP488" s="95"/>
      <c r="CCQ488" s="96"/>
      <c r="CCR488" s="97"/>
      <c r="CCS488" s="97"/>
      <c r="CCT488" s="97"/>
      <c r="CCU488" s="97"/>
      <c r="CCV488" s="97"/>
      <c r="CCW488" s="97"/>
      <c r="CCX488" s="97"/>
      <c r="CCY488" s="97"/>
      <c r="CDA488" s="94"/>
      <c r="CDB488" s="94"/>
      <c r="CDC488" s="95"/>
      <c r="CDD488" s="96"/>
      <c r="CDE488" s="97"/>
      <c r="CDF488" s="97"/>
      <c r="CDG488" s="97"/>
      <c r="CDH488" s="97"/>
      <c r="CDI488" s="97"/>
      <c r="CDJ488" s="97"/>
      <c r="CDK488" s="97"/>
      <c r="CDL488" s="97"/>
      <c r="CDN488" s="94"/>
      <c r="CDO488" s="94"/>
      <c r="CDP488" s="95"/>
      <c r="CDQ488" s="96"/>
      <c r="CDR488" s="97"/>
      <c r="CDS488" s="97"/>
      <c r="CDT488" s="97"/>
      <c r="CDU488" s="97"/>
      <c r="CDV488" s="97"/>
      <c r="CDW488" s="97"/>
      <c r="CDX488" s="97"/>
      <c r="CDY488" s="97"/>
      <c r="CEA488" s="94"/>
      <c r="CEB488" s="94"/>
      <c r="CEC488" s="95"/>
      <c r="CED488" s="96"/>
      <c r="CEE488" s="97"/>
      <c r="CEF488" s="97"/>
      <c r="CEG488" s="97"/>
      <c r="CEH488" s="97"/>
      <c r="CEI488" s="97"/>
      <c r="CEJ488" s="97"/>
      <c r="CEK488" s="97"/>
      <c r="CEL488" s="97"/>
      <c r="CEN488" s="94"/>
      <c r="CEO488" s="94"/>
      <c r="CEP488" s="95"/>
      <c r="CEQ488" s="96"/>
      <c r="CER488" s="97"/>
      <c r="CES488" s="97"/>
      <c r="CET488" s="97"/>
      <c r="CEU488" s="97"/>
      <c r="CEV488" s="97"/>
      <c r="CEW488" s="97"/>
      <c r="CEX488" s="97"/>
      <c r="CEY488" s="97"/>
      <c r="CFA488" s="94"/>
      <c r="CFB488" s="94"/>
      <c r="CFC488" s="95"/>
      <c r="CFD488" s="96"/>
      <c r="CFE488" s="97"/>
      <c r="CFF488" s="97"/>
      <c r="CFG488" s="97"/>
      <c r="CFH488" s="97"/>
      <c r="CFI488" s="97"/>
      <c r="CFJ488" s="97"/>
      <c r="CFK488" s="97"/>
      <c r="CFL488" s="97"/>
      <c r="CFN488" s="94"/>
      <c r="CFO488" s="94"/>
      <c r="CFP488" s="95"/>
      <c r="CFQ488" s="96"/>
      <c r="CFR488" s="97"/>
      <c r="CFS488" s="97"/>
      <c r="CFT488" s="97"/>
      <c r="CFU488" s="97"/>
      <c r="CFV488" s="97"/>
      <c r="CFW488" s="97"/>
      <c r="CFX488" s="97"/>
      <c r="CFY488" s="97"/>
      <c r="CGA488" s="94"/>
      <c r="CGB488" s="94"/>
      <c r="CGC488" s="95"/>
      <c r="CGD488" s="96"/>
      <c r="CGE488" s="97"/>
      <c r="CGF488" s="97"/>
      <c r="CGG488" s="97"/>
      <c r="CGH488" s="97"/>
      <c r="CGI488" s="97"/>
      <c r="CGJ488" s="97"/>
      <c r="CGK488" s="97"/>
      <c r="CGL488" s="97"/>
      <c r="CGN488" s="94"/>
      <c r="CGO488" s="94"/>
      <c r="CGP488" s="95"/>
      <c r="CGQ488" s="96"/>
      <c r="CGR488" s="97"/>
      <c r="CGS488" s="97"/>
      <c r="CGT488" s="97"/>
      <c r="CGU488" s="97"/>
      <c r="CGV488" s="97"/>
      <c r="CGW488" s="97"/>
      <c r="CGX488" s="97"/>
      <c r="CGY488" s="97"/>
      <c r="CHA488" s="94"/>
      <c r="CHB488" s="94"/>
      <c r="CHC488" s="95"/>
      <c r="CHD488" s="96"/>
      <c r="CHE488" s="97"/>
      <c r="CHF488" s="97"/>
      <c r="CHG488" s="97"/>
      <c r="CHH488" s="97"/>
      <c r="CHI488" s="97"/>
      <c r="CHJ488" s="97"/>
      <c r="CHK488" s="97"/>
      <c r="CHL488" s="97"/>
      <c r="CHN488" s="94"/>
      <c r="CHO488" s="94"/>
      <c r="CHP488" s="95"/>
      <c r="CHQ488" s="96"/>
      <c r="CHR488" s="97"/>
      <c r="CHS488" s="97"/>
      <c r="CHT488" s="97"/>
      <c r="CHU488" s="97"/>
      <c r="CHV488" s="97"/>
      <c r="CHW488" s="97"/>
      <c r="CHX488" s="97"/>
      <c r="CHY488" s="97"/>
      <c r="CIA488" s="94"/>
      <c r="CIB488" s="94"/>
      <c r="CIC488" s="95"/>
      <c r="CID488" s="96"/>
      <c r="CIE488" s="97"/>
      <c r="CIF488" s="97"/>
      <c r="CIG488" s="97"/>
      <c r="CIH488" s="97"/>
      <c r="CII488" s="97"/>
      <c r="CIJ488" s="97"/>
      <c r="CIK488" s="97"/>
      <c r="CIL488" s="97"/>
      <c r="CIN488" s="94"/>
      <c r="CIO488" s="94"/>
      <c r="CIP488" s="95"/>
      <c r="CIQ488" s="96"/>
      <c r="CIR488" s="97"/>
      <c r="CIS488" s="97"/>
      <c r="CIT488" s="97"/>
      <c r="CIU488" s="97"/>
      <c r="CIV488" s="97"/>
      <c r="CIW488" s="97"/>
      <c r="CIX488" s="97"/>
      <c r="CIY488" s="97"/>
      <c r="CJA488" s="94"/>
      <c r="CJB488" s="94"/>
      <c r="CJC488" s="95"/>
      <c r="CJD488" s="96"/>
      <c r="CJE488" s="97"/>
      <c r="CJF488" s="97"/>
      <c r="CJG488" s="97"/>
      <c r="CJH488" s="97"/>
      <c r="CJI488" s="97"/>
      <c r="CJJ488" s="97"/>
      <c r="CJK488" s="97"/>
      <c r="CJL488" s="97"/>
      <c r="CJN488" s="94"/>
      <c r="CJO488" s="94"/>
      <c r="CJP488" s="95"/>
      <c r="CJQ488" s="96"/>
      <c r="CJR488" s="97"/>
      <c r="CJS488" s="97"/>
      <c r="CJT488" s="97"/>
      <c r="CJU488" s="97"/>
      <c r="CJV488" s="97"/>
      <c r="CJW488" s="97"/>
      <c r="CJX488" s="97"/>
      <c r="CJY488" s="97"/>
      <c r="CKA488" s="94"/>
      <c r="CKB488" s="94"/>
      <c r="CKC488" s="95"/>
      <c r="CKD488" s="96"/>
      <c r="CKE488" s="97"/>
      <c r="CKF488" s="97"/>
      <c r="CKG488" s="97"/>
      <c r="CKH488" s="97"/>
      <c r="CKI488" s="97"/>
      <c r="CKJ488" s="97"/>
      <c r="CKK488" s="97"/>
      <c r="CKL488" s="97"/>
      <c r="CKN488" s="94"/>
      <c r="CKO488" s="94"/>
      <c r="CKP488" s="95"/>
      <c r="CKQ488" s="96"/>
      <c r="CKR488" s="97"/>
      <c r="CKS488" s="97"/>
      <c r="CKT488" s="97"/>
      <c r="CKU488" s="97"/>
      <c r="CKV488" s="97"/>
      <c r="CKW488" s="97"/>
      <c r="CKX488" s="97"/>
      <c r="CKY488" s="97"/>
      <c r="CLA488" s="94"/>
      <c r="CLB488" s="94"/>
      <c r="CLC488" s="95"/>
      <c r="CLD488" s="96"/>
      <c r="CLE488" s="97"/>
      <c r="CLF488" s="97"/>
      <c r="CLG488" s="97"/>
      <c r="CLH488" s="97"/>
      <c r="CLI488" s="97"/>
      <c r="CLJ488" s="97"/>
      <c r="CLK488" s="97"/>
      <c r="CLL488" s="97"/>
      <c r="CLN488" s="94"/>
      <c r="CLO488" s="94"/>
      <c r="CLP488" s="95"/>
      <c r="CLQ488" s="96"/>
      <c r="CLR488" s="97"/>
      <c r="CLS488" s="97"/>
      <c r="CLT488" s="97"/>
      <c r="CLU488" s="97"/>
      <c r="CLV488" s="97"/>
      <c r="CLW488" s="97"/>
      <c r="CLX488" s="97"/>
      <c r="CLY488" s="97"/>
      <c r="CMA488" s="94"/>
      <c r="CMB488" s="94"/>
      <c r="CMC488" s="95"/>
      <c r="CMD488" s="96"/>
      <c r="CME488" s="97"/>
      <c r="CMF488" s="97"/>
      <c r="CMG488" s="97"/>
      <c r="CMH488" s="97"/>
      <c r="CMI488" s="97"/>
      <c r="CMJ488" s="97"/>
      <c r="CMK488" s="97"/>
      <c r="CML488" s="97"/>
      <c r="CMN488" s="94"/>
      <c r="CMO488" s="94"/>
      <c r="CMP488" s="95"/>
      <c r="CMQ488" s="96"/>
      <c r="CMR488" s="97"/>
      <c r="CMS488" s="97"/>
      <c r="CMT488" s="97"/>
      <c r="CMU488" s="97"/>
      <c r="CMV488" s="97"/>
      <c r="CMW488" s="97"/>
      <c r="CMX488" s="97"/>
      <c r="CMY488" s="97"/>
      <c r="CNA488" s="94"/>
      <c r="CNB488" s="94"/>
      <c r="CNC488" s="95"/>
      <c r="CND488" s="96"/>
      <c r="CNE488" s="97"/>
      <c r="CNF488" s="97"/>
      <c r="CNG488" s="97"/>
      <c r="CNH488" s="97"/>
      <c r="CNI488" s="97"/>
      <c r="CNJ488" s="97"/>
      <c r="CNK488" s="97"/>
      <c r="CNL488" s="97"/>
      <c r="CNN488" s="94"/>
      <c r="CNO488" s="94"/>
      <c r="CNP488" s="95"/>
      <c r="CNQ488" s="96"/>
      <c r="CNR488" s="97"/>
      <c r="CNS488" s="97"/>
      <c r="CNT488" s="97"/>
      <c r="CNU488" s="97"/>
      <c r="CNV488" s="97"/>
      <c r="CNW488" s="97"/>
      <c r="CNX488" s="97"/>
      <c r="CNY488" s="97"/>
      <c r="COA488" s="94"/>
      <c r="COB488" s="94"/>
      <c r="COC488" s="95"/>
      <c r="COD488" s="96"/>
      <c r="COE488" s="97"/>
      <c r="COF488" s="97"/>
      <c r="COG488" s="97"/>
      <c r="COH488" s="97"/>
      <c r="COI488" s="97"/>
      <c r="COJ488" s="97"/>
      <c r="COK488" s="97"/>
      <c r="COL488" s="97"/>
      <c r="CON488" s="94"/>
      <c r="COO488" s="94"/>
      <c r="COP488" s="95"/>
      <c r="COQ488" s="96"/>
      <c r="COR488" s="97"/>
      <c r="COS488" s="97"/>
      <c r="COT488" s="97"/>
      <c r="COU488" s="97"/>
      <c r="COV488" s="97"/>
      <c r="COW488" s="97"/>
      <c r="COX488" s="97"/>
      <c r="COY488" s="97"/>
      <c r="CPA488" s="94"/>
      <c r="CPB488" s="94"/>
      <c r="CPC488" s="95"/>
      <c r="CPD488" s="96"/>
      <c r="CPE488" s="97"/>
      <c r="CPF488" s="97"/>
      <c r="CPG488" s="97"/>
      <c r="CPH488" s="97"/>
      <c r="CPI488" s="97"/>
      <c r="CPJ488" s="97"/>
      <c r="CPK488" s="97"/>
      <c r="CPL488" s="97"/>
      <c r="CPN488" s="94"/>
      <c r="CPO488" s="94"/>
      <c r="CPP488" s="95"/>
      <c r="CPQ488" s="96"/>
      <c r="CPR488" s="97"/>
      <c r="CPS488" s="97"/>
      <c r="CPT488" s="97"/>
      <c r="CPU488" s="97"/>
      <c r="CPV488" s="97"/>
      <c r="CPW488" s="97"/>
      <c r="CPX488" s="97"/>
      <c r="CPY488" s="97"/>
      <c r="CQA488" s="94"/>
      <c r="CQB488" s="94"/>
      <c r="CQC488" s="95"/>
      <c r="CQD488" s="96"/>
      <c r="CQE488" s="97"/>
      <c r="CQF488" s="97"/>
      <c r="CQG488" s="97"/>
      <c r="CQH488" s="97"/>
      <c r="CQI488" s="97"/>
      <c r="CQJ488" s="97"/>
      <c r="CQK488" s="97"/>
      <c r="CQL488" s="97"/>
      <c r="CQN488" s="94"/>
      <c r="CQO488" s="94"/>
      <c r="CQP488" s="95"/>
      <c r="CQQ488" s="96"/>
      <c r="CQR488" s="97"/>
      <c r="CQS488" s="97"/>
      <c r="CQT488" s="97"/>
      <c r="CQU488" s="97"/>
      <c r="CQV488" s="97"/>
      <c r="CQW488" s="97"/>
      <c r="CQX488" s="97"/>
      <c r="CQY488" s="97"/>
      <c r="CRA488" s="94"/>
      <c r="CRB488" s="94"/>
      <c r="CRC488" s="95"/>
      <c r="CRD488" s="96"/>
      <c r="CRE488" s="97"/>
      <c r="CRF488" s="97"/>
      <c r="CRG488" s="97"/>
      <c r="CRH488" s="97"/>
      <c r="CRI488" s="97"/>
      <c r="CRJ488" s="97"/>
      <c r="CRK488" s="97"/>
      <c r="CRL488" s="97"/>
      <c r="CRN488" s="94"/>
      <c r="CRO488" s="94"/>
      <c r="CRP488" s="95"/>
      <c r="CRQ488" s="96"/>
      <c r="CRR488" s="97"/>
      <c r="CRS488" s="97"/>
      <c r="CRT488" s="97"/>
      <c r="CRU488" s="97"/>
      <c r="CRV488" s="97"/>
      <c r="CRW488" s="97"/>
      <c r="CRX488" s="97"/>
      <c r="CRY488" s="97"/>
      <c r="CSA488" s="94"/>
      <c r="CSB488" s="94"/>
      <c r="CSC488" s="95"/>
      <c r="CSD488" s="96"/>
      <c r="CSE488" s="97"/>
      <c r="CSF488" s="97"/>
      <c r="CSG488" s="97"/>
      <c r="CSH488" s="97"/>
      <c r="CSI488" s="97"/>
      <c r="CSJ488" s="97"/>
      <c r="CSK488" s="97"/>
      <c r="CSL488" s="97"/>
      <c r="CSN488" s="94"/>
      <c r="CSO488" s="94"/>
      <c r="CSP488" s="95"/>
      <c r="CSQ488" s="96"/>
      <c r="CSR488" s="97"/>
      <c r="CSS488" s="97"/>
      <c r="CST488" s="97"/>
      <c r="CSU488" s="97"/>
      <c r="CSV488" s="97"/>
      <c r="CSW488" s="97"/>
      <c r="CSX488" s="97"/>
      <c r="CSY488" s="97"/>
      <c r="CTA488" s="94"/>
      <c r="CTB488" s="94"/>
      <c r="CTC488" s="95"/>
      <c r="CTD488" s="96"/>
      <c r="CTE488" s="97"/>
      <c r="CTF488" s="97"/>
      <c r="CTG488" s="97"/>
      <c r="CTH488" s="97"/>
      <c r="CTI488" s="97"/>
      <c r="CTJ488" s="97"/>
      <c r="CTK488" s="97"/>
      <c r="CTL488" s="97"/>
      <c r="CTN488" s="94"/>
      <c r="CTO488" s="94"/>
      <c r="CTP488" s="95"/>
      <c r="CTQ488" s="96"/>
      <c r="CTR488" s="97"/>
      <c r="CTS488" s="97"/>
      <c r="CTT488" s="97"/>
      <c r="CTU488" s="97"/>
      <c r="CTV488" s="97"/>
      <c r="CTW488" s="97"/>
      <c r="CTX488" s="97"/>
      <c r="CTY488" s="97"/>
      <c r="CUA488" s="94"/>
      <c r="CUB488" s="94"/>
      <c r="CUC488" s="95"/>
      <c r="CUD488" s="96"/>
      <c r="CUE488" s="97"/>
      <c r="CUF488" s="97"/>
      <c r="CUG488" s="97"/>
      <c r="CUH488" s="97"/>
      <c r="CUI488" s="97"/>
      <c r="CUJ488" s="97"/>
      <c r="CUK488" s="97"/>
      <c r="CUL488" s="97"/>
      <c r="CUN488" s="94"/>
      <c r="CUO488" s="94"/>
      <c r="CUP488" s="95"/>
      <c r="CUQ488" s="96"/>
      <c r="CUR488" s="97"/>
      <c r="CUS488" s="97"/>
      <c r="CUT488" s="97"/>
      <c r="CUU488" s="97"/>
      <c r="CUV488" s="97"/>
      <c r="CUW488" s="97"/>
      <c r="CUX488" s="97"/>
      <c r="CUY488" s="97"/>
      <c r="CVA488" s="94"/>
      <c r="CVB488" s="94"/>
      <c r="CVC488" s="95"/>
      <c r="CVD488" s="96"/>
      <c r="CVE488" s="97"/>
      <c r="CVF488" s="97"/>
      <c r="CVG488" s="97"/>
      <c r="CVH488" s="97"/>
      <c r="CVI488" s="97"/>
      <c r="CVJ488" s="97"/>
      <c r="CVK488" s="97"/>
      <c r="CVL488" s="97"/>
      <c r="CVN488" s="94"/>
      <c r="CVO488" s="94"/>
      <c r="CVP488" s="95"/>
      <c r="CVQ488" s="96"/>
      <c r="CVR488" s="97"/>
      <c r="CVS488" s="97"/>
      <c r="CVT488" s="97"/>
      <c r="CVU488" s="97"/>
      <c r="CVV488" s="97"/>
      <c r="CVW488" s="97"/>
      <c r="CVX488" s="97"/>
      <c r="CVY488" s="97"/>
      <c r="CWA488" s="94"/>
      <c r="CWB488" s="94"/>
      <c r="CWC488" s="95"/>
      <c r="CWD488" s="96"/>
      <c r="CWE488" s="97"/>
      <c r="CWF488" s="97"/>
      <c r="CWG488" s="97"/>
      <c r="CWH488" s="97"/>
      <c r="CWI488" s="97"/>
      <c r="CWJ488" s="97"/>
      <c r="CWK488" s="97"/>
      <c r="CWL488" s="97"/>
      <c r="CWN488" s="94"/>
      <c r="CWO488" s="94"/>
      <c r="CWP488" s="95"/>
      <c r="CWQ488" s="96"/>
      <c r="CWR488" s="97"/>
      <c r="CWS488" s="97"/>
      <c r="CWT488" s="97"/>
      <c r="CWU488" s="97"/>
      <c r="CWV488" s="97"/>
      <c r="CWW488" s="97"/>
      <c r="CWX488" s="97"/>
      <c r="CWY488" s="97"/>
      <c r="CXA488" s="94"/>
      <c r="CXB488" s="94"/>
      <c r="CXC488" s="95"/>
      <c r="CXD488" s="96"/>
      <c r="CXE488" s="97"/>
      <c r="CXF488" s="97"/>
      <c r="CXG488" s="97"/>
      <c r="CXH488" s="97"/>
      <c r="CXI488" s="97"/>
      <c r="CXJ488" s="97"/>
      <c r="CXK488" s="97"/>
      <c r="CXL488" s="97"/>
      <c r="CXN488" s="94"/>
      <c r="CXO488" s="94"/>
      <c r="CXP488" s="95"/>
      <c r="CXQ488" s="96"/>
      <c r="CXR488" s="97"/>
      <c r="CXS488" s="97"/>
      <c r="CXT488" s="97"/>
      <c r="CXU488" s="97"/>
      <c r="CXV488" s="97"/>
      <c r="CXW488" s="97"/>
      <c r="CXX488" s="97"/>
      <c r="CXY488" s="97"/>
      <c r="CYA488" s="94"/>
      <c r="CYB488" s="94"/>
      <c r="CYC488" s="95"/>
      <c r="CYD488" s="96"/>
      <c r="CYE488" s="97"/>
      <c r="CYF488" s="97"/>
      <c r="CYG488" s="97"/>
      <c r="CYH488" s="97"/>
      <c r="CYI488" s="97"/>
      <c r="CYJ488" s="97"/>
      <c r="CYK488" s="97"/>
      <c r="CYL488" s="97"/>
      <c r="CYN488" s="94"/>
      <c r="CYO488" s="94"/>
      <c r="CYP488" s="95"/>
      <c r="CYQ488" s="96"/>
      <c r="CYR488" s="97"/>
      <c r="CYS488" s="97"/>
      <c r="CYT488" s="97"/>
      <c r="CYU488" s="97"/>
      <c r="CYV488" s="97"/>
      <c r="CYW488" s="97"/>
      <c r="CYX488" s="97"/>
      <c r="CYY488" s="97"/>
      <c r="CZA488" s="94"/>
      <c r="CZB488" s="94"/>
      <c r="CZC488" s="95"/>
      <c r="CZD488" s="96"/>
      <c r="CZE488" s="97"/>
      <c r="CZF488" s="97"/>
      <c r="CZG488" s="97"/>
      <c r="CZH488" s="97"/>
      <c r="CZI488" s="97"/>
      <c r="CZJ488" s="97"/>
      <c r="CZK488" s="97"/>
      <c r="CZL488" s="97"/>
      <c r="CZN488" s="94"/>
      <c r="CZO488" s="94"/>
      <c r="CZP488" s="95"/>
      <c r="CZQ488" s="96"/>
      <c r="CZR488" s="97"/>
      <c r="CZS488" s="97"/>
      <c r="CZT488" s="97"/>
      <c r="CZU488" s="97"/>
      <c r="CZV488" s="97"/>
      <c r="CZW488" s="97"/>
      <c r="CZX488" s="97"/>
      <c r="CZY488" s="97"/>
      <c r="DAA488" s="94"/>
      <c r="DAB488" s="94"/>
      <c r="DAC488" s="95"/>
      <c r="DAD488" s="96"/>
      <c r="DAE488" s="97"/>
      <c r="DAF488" s="97"/>
      <c r="DAG488" s="97"/>
      <c r="DAH488" s="97"/>
      <c r="DAI488" s="97"/>
      <c r="DAJ488" s="97"/>
      <c r="DAK488" s="97"/>
      <c r="DAL488" s="97"/>
      <c r="DAN488" s="94"/>
      <c r="DAO488" s="94"/>
      <c r="DAP488" s="95"/>
      <c r="DAQ488" s="96"/>
      <c r="DAR488" s="97"/>
      <c r="DAS488" s="97"/>
      <c r="DAT488" s="97"/>
      <c r="DAU488" s="97"/>
      <c r="DAV488" s="97"/>
      <c r="DAW488" s="97"/>
      <c r="DAX488" s="97"/>
      <c r="DAY488" s="97"/>
      <c r="DBA488" s="94"/>
      <c r="DBB488" s="94"/>
      <c r="DBC488" s="95"/>
      <c r="DBD488" s="96"/>
      <c r="DBE488" s="97"/>
      <c r="DBF488" s="97"/>
      <c r="DBG488" s="97"/>
      <c r="DBH488" s="97"/>
      <c r="DBI488" s="97"/>
      <c r="DBJ488" s="97"/>
      <c r="DBK488" s="97"/>
      <c r="DBL488" s="97"/>
      <c r="DBN488" s="94"/>
      <c r="DBO488" s="94"/>
      <c r="DBP488" s="95"/>
      <c r="DBQ488" s="96"/>
      <c r="DBR488" s="97"/>
      <c r="DBS488" s="97"/>
      <c r="DBT488" s="97"/>
      <c r="DBU488" s="97"/>
      <c r="DBV488" s="97"/>
      <c r="DBW488" s="97"/>
      <c r="DBX488" s="97"/>
      <c r="DBY488" s="97"/>
      <c r="DCA488" s="94"/>
      <c r="DCB488" s="94"/>
      <c r="DCC488" s="95"/>
      <c r="DCD488" s="96"/>
      <c r="DCE488" s="97"/>
      <c r="DCF488" s="97"/>
      <c r="DCG488" s="97"/>
      <c r="DCH488" s="97"/>
      <c r="DCI488" s="97"/>
      <c r="DCJ488" s="97"/>
      <c r="DCK488" s="97"/>
      <c r="DCL488" s="97"/>
      <c r="DCN488" s="94"/>
      <c r="DCO488" s="94"/>
      <c r="DCP488" s="95"/>
      <c r="DCQ488" s="96"/>
      <c r="DCR488" s="97"/>
      <c r="DCS488" s="97"/>
      <c r="DCT488" s="97"/>
      <c r="DCU488" s="97"/>
      <c r="DCV488" s="97"/>
      <c r="DCW488" s="97"/>
      <c r="DCX488" s="97"/>
      <c r="DCY488" s="97"/>
      <c r="DDA488" s="94"/>
      <c r="DDB488" s="94"/>
      <c r="DDC488" s="95"/>
      <c r="DDD488" s="96"/>
      <c r="DDE488" s="97"/>
      <c r="DDF488" s="97"/>
      <c r="DDG488" s="97"/>
      <c r="DDH488" s="97"/>
      <c r="DDI488" s="97"/>
      <c r="DDJ488" s="97"/>
      <c r="DDK488" s="97"/>
      <c r="DDL488" s="97"/>
      <c r="DDN488" s="94"/>
      <c r="DDO488" s="94"/>
      <c r="DDP488" s="95"/>
      <c r="DDQ488" s="96"/>
      <c r="DDR488" s="97"/>
      <c r="DDS488" s="97"/>
      <c r="DDT488" s="97"/>
      <c r="DDU488" s="97"/>
      <c r="DDV488" s="97"/>
      <c r="DDW488" s="97"/>
      <c r="DDX488" s="97"/>
      <c r="DDY488" s="97"/>
      <c r="DEA488" s="94"/>
      <c r="DEB488" s="94"/>
      <c r="DEC488" s="95"/>
      <c r="DED488" s="96"/>
      <c r="DEE488" s="97"/>
      <c r="DEF488" s="97"/>
      <c r="DEG488" s="97"/>
      <c r="DEH488" s="97"/>
      <c r="DEI488" s="97"/>
      <c r="DEJ488" s="97"/>
      <c r="DEK488" s="97"/>
      <c r="DEL488" s="97"/>
      <c r="DEN488" s="94"/>
      <c r="DEO488" s="94"/>
      <c r="DEP488" s="95"/>
      <c r="DEQ488" s="96"/>
      <c r="DER488" s="97"/>
      <c r="DES488" s="97"/>
      <c r="DET488" s="97"/>
      <c r="DEU488" s="97"/>
      <c r="DEV488" s="97"/>
      <c r="DEW488" s="97"/>
      <c r="DEX488" s="97"/>
      <c r="DEY488" s="97"/>
      <c r="DFA488" s="94"/>
      <c r="DFB488" s="94"/>
      <c r="DFC488" s="95"/>
      <c r="DFD488" s="96"/>
      <c r="DFE488" s="97"/>
      <c r="DFF488" s="97"/>
      <c r="DFG488" s="97"/>
      <c r="DFH488" s="97"/>
      <c r="DFI488" s="97"/>
      <c r="DFJ488" s="97"/>
      <c r="DFK488" s="97"/>
      <c r="DFL488" s="97"/>
      <c r="DFN488" s="94"/>
      <c r="DFO488" s="94"/>
      <c r="DFP488" s="95"/>
      <c r="DFQ488" s="96"/>
      <c r="DFR488" s="97"/>
      <c r="DFS488" s="97"/>
      <c r="DFT488" s="97"/>
      <c r="DFU488" s="97"/>
      <c r="DFV488" s="97"/>
      <c r="DFW488" s="97"/>
      <c r="DFX488" s="97"/>
      <c r="DFY488" s="97"/>
      <c r="DGA488" s="94"/>
      <c r="DGB488" s="94"/>
      <c r="DGC488" s="95"/>
      <c r="DGD488" s="96"/>
      <c r="DGE488" s="97"/>
      <c r="DGF488" s="97"/>
      <c r="DGG488" s="97"/>
      <c r="DGH488" s="97"/>
      <c r="DGI488" s="97"/>
      <c r="DGJ488" s="97"/>
      <c r="DGK488" s="97"/>
      <c r="DGL488" s="97"/>
      <c r="DGN488" s="94"/>
      <c r="DGO488" s="94"/>
      <c r="DGP488" s="95"/>
      <c r="DGQ488" s="96"/>
      <c r="DGR488" s="97"/>
      <c r="DGS488" s="97"/>
      <c r="DGT488" s="97"/>
      <c r="DGU488" s="97"/>
      <c r="DGV488" s="97"/>
      <c r="DGW488" s="97"/>
      <c r="DGX488" s="97"/>
      <c r="DGY488" s="97"/>
      <c r="DHA488" s="94"/>
      <c r="DHB488" s="94"/>
      <c r="DHC488" s="95"/>
      <c r="DHD488" s="96"/>
      <c r="DHE488" s="97"/>
      <c r="DHF488" s="97"/>
      <c r="DHG488" s="97"/>
      <c r="DHH488" s="97"/>
      <c r="DHI488" s="97"/>
      <c r="DHJ488" s="97"/>
      <c r="DHK488" s="97"/>
      <c r="DHL488" s="97"/>
      <c r="DHN488" s="94"/>
      <c r="DHO488" s="94"/>
      <c r="DHP488" s="95"/>
      <c r="DHQ488" s="96"/>
      <c r="DHR488" s="97"/>
      <c r="DHS488" s="97"/>
      <c r="DHT488" s="97"/>
      <c r="DHU488" s="97"/>
      <c r="DHV488" s="97"/>
      <c r="DHW488" s="97"/>
      <c r="DHX488" s="97"/>
      <c r="DHY488" s="97"/>
      <c r="DIA488" s="94"/>
      <c r="DIB488" s="94"/>
      <c r="DIC488" s="95"/>
      <c r="DID488" s="96"/>
      <c r="DIE488" s="97"/>
      <c r="DIF488" s="97"/>
      <c r="DIG488" s="97"/>
      <c r="DIH488" s="97"/>
      <c r="DII488" s="97"/>
      <c r="DIJ488" s="97"/>
      <c r="DIK488" s="97"/>
      <c r="DIL488" s="97"/>
      <c r="DIN488" s="94"/>
      <c r="DIO488" s="94"/>
      <c r="DIP488" s="95"/>
      <c r="DIQ488" s="96"/>
      <c r="DIR488" s="97"/>
      <c r="DIS488" s="97"/>
      <c r="DIT488" s="97"/>
      <c r="DIU488" s="97"/>
      <c r="DIV488" s="97"/>
      <c r="DIW488" s="97"/>
      <c r="DIX488" s="97"/>
      <c r="DIY488" s="97"/>
      <c r="DJA488" s="94"/>
      <c r="DJB488" s="94"/>
      <c r="DJC488" s="95"/>
      <c r="DJD488" s="96"/>
      <c r="DJE488" s="97"/>
      <c r="DJF488" s="97"/>
      <c r="DJG488" s="97"/>
      <c r="DJH488" s="97"/>
      <c r="DJI488" s="97"/>
      <c r="DJJ488" s="97"/>
      <c r="DJK488" s="97"/>
      <c r="DJL488" s="97"/>
      <c r="DJN488" s="94"/>
      <c r="DJO488" s="94"/>
      <c r="DJP488" s="95"/>
      <c r="DJQ488" s="96"/>
      <c r="DJR488" s="97"/>
      <c r="DJS488" s="97"/>
      <c r="DJT488" s="97"/>
      <c r="DJU488" s="97"/>
      <c r="DJV488" s="97"/>
      <c r="DJW488" s="97"/>
      <c r="DJX488" s="97"/>
      <c r="DJY488" s="97"/>
      <c r="DKA488" s="94"/>
      <c r="DKB488" s="94"/>
      <c r="DKC488" s="95"/>
      <c r="DKD488" s="96"/>
      <c r="DKE488" s="97"/>
      <c r="DKF488" s="97"/>
      <c r="DKG488" s="97"/>
      <c r="DKH488" s="97"/>
      <c r="DKI488" s="97"/>
      <c r="DKJ488" s="97"/>
      <c r="DKK488" s="97"/>
      <c r="DKL488" s="97"/>
      <c r="DKN488" s="94"/>
      <c r="DKO488" s="94"/>
      <c r="DKP488" s="95"/>
      <c r="DKQ488" s="96"/>
      <c r="DKR488" s="97"/>
      <c r="DKS488" s="97"/>
      <c r="DKT488" s="97"/>
      <c r="DKU488" s="97"/>
      <c r="DKV488" s="97"/>
      <c r="DKW488" s="97"/>
      <c r="DKX488" s="97"/>
      <c r="DKY488" s="97"/>
      <c r="DLA488" s="94"/>
      <c r="DLB488" s="94"/>
      <c r="DLC488" s="95"/>
      <c r="DLD488" s="96"/>
      <c r="DLE488" s="97"/>
      <c r="DLF488" s="97"/>
      <c r="DLG488" s="97"/>
      <c r="DLH488" s="97"/>
      <c r="DLI488" s="97"/>
      <c r="DLJ488" s="97"/>
      <c r="DLK488" s="97"/>
      <c r="DLL488" s="97"/>
      <c r="DLN488" s="94"/>
      <c r="DLO488" s="94"/>
      <c r="DLP488" s="95"/>
      <c r="DLQ488" s="96"/>
      <c r="DLR488" s="97"/>
      <c r="DLS488" s="97"/>
      <c r="DLT488" s="97"/>
      <c r="DLU488" s="97"/>
      <c r="DLV488" s="97"/>
      <c r="DLW488" s="97"/>
      <c r="DLX488" s="97"/>
      <c r="DLY488" s="97"/>
      <c r="DMA488" s="94"/>
      <c r="DMB488" s="94"/>
      <c r="DMC488" s="95"/>
      <c r="DMD488" s="96"/>
      <c r="DME488" s="97"/>
      <c r="DMF488" s="97"/>
      <c r="DMG488" s="97"/>
      <c r="DMH488" s="97"/>
      <c r="DMI488" s="97"/>
      <c r="DMJ488" s="97"/>
      <c r="DMK488" s="97"/>
      <c r="DML488" s="97"/>
      <c r="DMN488" s="94"/>
      <c r="DMO488" s="94"/>
      <c r="DMP488" s="95"/>
      <c r="DMQ488" s="96"/>
      <c r="DMR488" s="97"/>
      <c r="DMS488" s="97"/>
      <c r="DMT488" s="97"/>
      <c r="DMU488" s="97"/>
      <c r="DMV488" s="97"/>
      <c r="DMW488" s="97"/>
      <c r="DMX488" s="97"/>
      <c r="DMY488" s="97"/>
      <c r="DNA488" s="94"/>
      <c r="DNB488" s="94"/>
      <c r="DNC488" s="95"/>
      <c r="DND488" s="96"/>
      <c r="DNE488" s="97"/>
      <c r="DNF488" s="97"/>
      <c r="DNG488" s="97"/>
      <c r="DNH488" s="97"/>
      <c r="DNI488" s="97"/>
      <c r="DNJ488" s="97"/>
      <c r="DNK488" s="97"/>
      <c r="DNL488" s="97"/>
      <c r="DNN488" s="94"/>
      <c r="DNO488" s="94"/>
      <c r="DNP488" s="95"/>
      <c r="DNQ488" s="96"/>
      <c r="DNR488" s="97"/>
      <c r="DNS488" s="97"/>
      <c r="DNT488" s="97"/>
      <c r="DNU488" s="97"/>
      <c r="DNV488" s="97"/>
      <c r="DNW488" s="97"/>
      <c r="DNX488" s="97"/>
      <c r="DNY488" s="97"/>
      <c r="DOA488" s="94"/>
      <c r="DOB488" s="94"/>
      <c r="DOC488" s="95"/>
      <c r="DOD488" s="96"/>
      <c r="DOE488" s="97"/>
      <c r="DOF488" s="97"/>
      <c r="DOG488" s="97"/>
      <c r="DOH488" s="97"/>
      <c r="DOI488" s="97"/>
      <c r="DOJ488" s="97"/>
      <c r="DOK488" s="97"/>
      <c r="DOL488" s="97"/>
      <c r="DON488" s="94"/>
      <c r="DOO488" s="94"/>
      <c r="DOP488" s="95"/>
      <c r="DOQ488" s="96"/>
      <c r="DOR488" s="97"/>
      <c r="DOS488" s="97"/>
      <c r="DOT488" s="97"/>
      <c r="DOU488" s="97"/>
      <c r="DOV488" s="97"/>
      <c r="DOW488" s="97"/>
      <c r="DOX488" s="97"/>
      <c r="DOY488" s="97"/>
      <c r="DPA488" s="94"/>
      <c r="DPB488" s="94"/>
      <c r="DPC488" s="95"/>
      <c r="DPD488" s="96"/>
      <c r="DPE488" s="97"/>
      <c r="DPF488" s="97"/>
      <c r="DPG488" s="97"/>
      <c r="DPH488" s="97"/>
      <c r="DPI488" s="97"/>
      <c r="DPJ488" s="97"/>
      <c r="DPK488" s="97"/>
      <c r="DPL488" s="97"/>
      <c r="DPN488" s="94"/>
      <c r="DPO488" s="94"/>
      <c r="DPP488" s="95"/>
      <c r="DPQ488" s="96"/>
      <c r="DPR488" s="97"/>
      <c r="DPS488" s="97"/>
      <c r="DPT488" s="97"/>
      <c r="DPU488" s="97"/>
      <c r="DPV488" s="97"/>
      <c r="DPW488" s="97"/>
      <c r="DPX488" s="97"/>
      <c r="DPY488" s="97"/>
      <c r="DQA488" s="94"/>
      <c r="DQB488" s="94"/>
      <c r="DQC488" s="95"/>
      <c r="DQD488" s="96"/>
      <c r="DQE488" s="97"/>
      <c r="DQF488" s="97"/>
      <c r="DQG488" s="97"/>
      <c r="DQH488" s="97"/>
      <c r="DQI488" s="97"/>
      <c r="DQJ488" s="97"/>
      <c r="DQK488" s="97"/>
      <c r="DQL488" s="97"/>
      <c r="DQN488" s="94"/>
      <c r="DQO488" s="94"/>
      <c r="DQP488" s="95"/>
      <c r="DQQ488" s="96"/>
      <c r="DQR488" s="97"/>
      <c r="DQS488" s="97"/>
      <c r="DQT488" s="97"/>
      <c r="DQU488" s="97"/>
      <c r="DQV488" s="97"/>
      <c r="DQW488" s="97"/>
      <c r="DQX488" s="97"/>
      <c r="DQY488" s="97"/>
      <c r="DRA488" s="94"/>
      <c r="DRB488" s="94"/>
      <c r="DRC488" s="95"/>
      <c r="DRD488" s="96"/>
      <c r="DRE488" s="97"/>
      <c r="DRF488" s="97"/>
      <c r="DRG488" s="97"/>
      <c r="DRH488" s="97"/>
      <c r="DRI488" s="97"/>
      <c r="DRJ488" s="97"/>
      <c r="DRK488" s="97"/>
      <c r="DRL488" s="97"/>
      <c r="DRN488" s="94"/>
      <c r="DRO488" s="94"/>
      <c r="DRP488" s="95"/>
      <c r="DRQ488" s="96"/>
      <c r="DRR488" s="97"/>
      <c r="DRS488" s="97"/>
      <c r="DRT488" s="97"/>
      <c r="DRU488" s="97"/>
      <c r="DRV488" s="97"/>
      <c r="DRW488" s="97"/>
      <c r="DRX488" s="97"/>
      <c r="DRY488" s="97"/>
      <c r="DSA488" s="94"/>
      <c r="DSB488" s="94"/>
      <c r="DSC488" s="95"/>
      <c r="DSD488" s="96"/>
      <c r="DSE488" s="97"/>
      <c r="DSF488" s="97"/>
      <c r="DSG488" s="97"/>
      <c r="DSH488" s="97"/>
      <c r="DSI488" s="97"/>
      <c r="DSJ488" s="97"/>
      <c r="DSK488" s="97"/>
      <c r="DSL488" s="97"/>
      <c r="DSN488" s="94"/>
      <c r="DSO488" s="94"/>
      <c r="DSP488" s="95"/>
      <c r="DSQ488" s="96"/>
      <c r="DSR488" s="97"/>
      <c r="DSS488" s="97"/>
      <c r="DST488" s="97"/>
      <c r="DSU488" s="97"/>
      <c r="DSV488" s="97"/>
      <c r="DSW488" s="97"/>
      <c r="DSX488" s="97"/>
      <c r="DSY488" s="97"/>
      <c r="DTA488" s="94"/>
      <c r="DTB488" s="94"/>
      <c r="DTC488" s="95"/>
      <c r="DTD488" s="96"/>
      <c r="DTE488" s="97"/>
      <c r="DTF488" s="97"/>
      <c r="DTG488" s="97"/>
      <c r="DTH488" s="97"/>
      <c r="DTI488" s="97"/>
      <c r="DTJ488" s="97"/>
      <c r="DTK488" s="97"/>
      <c r="DTL488" s="97"/>
      <c r="DTN488" s="94"/>
      <c r="DTO488" s="94"/>
      <c r="DTP488" s="95"/>
      <c r="DTQ488" s="96"/>
      <c r="DTR488" s="97"/>
      <c r="DTS488" s="97"/>
      <c r="DTT488" s="97"/>
      <c r="DTU488" s="97"/>
      <c r="DTV488" s="97"/>
      <c r="DTW488" s="97"/>
      <c r="DTX488" s="97"/>
      <c r="DTY488" s="97"/>
      <c r="DUA488" s="94"/>
      <c r="DUB488" s="94"/>
      <c r="DUC488" s="95"/>
      <c r="DUD488" s="96"/>
      <c r="DUE488" s="97"/>
      <c r="DUF488" s="97"/>
      <c r="DUG488" s="97"/>
      <c r="DUH488" s="97"/>
      <c r="DUI488" s="97"/>
      <c r="DUJ488" s="97"/>
      <c r="DUK488" s="97"/>
      <c r="DUL488" s="97"/>
      <c r="DUN488" s="94"/>
      <c r="DUO488" s="94"/>
      <c r="DUP488" s="95"/>
      <c r="DUQ488" s="96"/>
      <c r="DUR488" s="97"/>
      <c r="DUS488" s="97"/>
      <c r="DUT488" s="97"/>
      <c r="DUU488" s="97"/>
      <c r="DUV488" s="97"/>
      <c r="DUW488" s="97"/>
      <c r="DUX488" s="97"/>
      <c r="DUY488" s="97"/>
      <c r="DVA488" s="94"/>
      <c r="DVB488" s="94"/>
      <c r="DVC488" s="95"/>
      <c r="DVD488" s="96"/>
      <c r="DVE488" s="97"/>
      <c r="DVF488" s="97"/>
      <c r="DVG488" s="97"/>
      <c r="DVH488" s="97"/>
      <c r="DVI488" s="97"/>
      <c r="DVJ488" s="97"/>
      <c r="DVK488" s="97"/>
      <c r="DVL488" s="97"/>
      <c r="DVN488" s="94"/>
      <c r="DVO488" s="94"/>
      <c r="DVP488" s="95"/>
      <c r="DVQ488" s="96"/>
      <c r="DVR488" s="97"/>
      <c r="DVS488" s="97"/>
      <c r="DVT488" s="97"/>
      <c r="DVU488" s="97"/>
      <c r="DVV488" s="97"/>
      <c r="DVW488" s="97"/>
      <c r="DVX488" s="97"/>
      <c r="DVY488" s="97"/>
      <c r="DWA488" s="94"/>
      <c r="DWB488" s="94"/>
      <c r="DWC488" s="95"/>
      <c r="DWD488" s="96"/>
      <c r="DWE488" s="97"/>
      <c r="DWF488" s="97"/>
      <c r="DWG488" s="97"/>
      <c r="DWH488" s="97"/>
      <c r="DWI488" s="97"/>
      <c r="DWJ488" s="97"/>
      <c r="DWK488" s="97"/>
      <c r="DWL488" s="97"/>
      <c r="DWN488" s="94"/>
      <c r="DWO488" s="94"/>
      <c r="DWP488" s="95"/>
      <c r="DWQ488" s="96"/>
      <c r="DWR488" s="97"/>
      <c r="DWS488" s="97"/>
      <c r="DWT488" s="97"/>
      <c r="DWU488" s="97"/>
      <c r="DWV488" s="97"/>
      <c r="DWW488" s="97"/>
      <c r="DWX488" s="97"/>
      <c r="DWY488" s="97"/>
      <c r="DXA488" s="94"/>
      <c r="DXB488" s="94"/>
      <c r="DXC488" s="95"/>
      <c r="DXD488" s="96"/>
      <c r="DXE488" s="97"/>
      <c r="DXF488" s="97"/>
      <c r="DXG488" s="97"/>
      <c r="DXH488" s="97"/>
      <c r="DXI488" s="97"/>
      <c r="DXJ488" s="97"/>
      <c r="DXK488" s="97"/>
      <c r="DXL488" s="97"/>
      <c r="DXN488" s="94"/>
      <c r="DXO488" s="94"/>
      <c r="DXP488" s="95"/>
      <c r="DXQ488" s="96"/>
      <c r="DXR488" s="97"/>
      <c r="DXS488" s="97"/>
      <c r="DXT488" s="97"/>
      <c r="DXU488" s="97"/>
      <c r="DXV488" s="97"/>
      <c r="DXW488" s="97"/>
      <c r="DXX488" s="97"/>
      <c r="DXY488" s="97"/>
      <c r="DYA488" s="94"/>
      <c r="DYB488" s="94"/>
      <c r="DYC488" s="95"/>
      <c r="DYD488" s="96"/>
      <c r="DYE488" s="97"/>
      <c r="DYF488" s="97"/>
      <c r="DYG488" s="97"/>
      <c r="DYH488" s="97"/>
      <c r="DYI488" s="97"/>
      <c r="DYJ488" s="97"/>
      <c r="DYK488" s="97"/>
      <c r="DYL488" s="97"/>
      <c r="DYN488" s="94"/>
      <c r="DYO488" s="94"/>
      <c r="DYP488" s="95"/>
      <c r="DYQ488" s="96"/>
      <c r="DYR488" s="97"/>
      <c r="DYS488" s="97"/>
      <c r="DYT488" s="97"/>
      <c r="DYU488" s="97"/>
      <c r="DYV488" s="97"/>
      <c r="DYW488" s="97"/>
      <c r="DYX488" s="97"/>
      <c r="DYY488" s="97"/>
      <c r="DZA488" s="94"/>
      <c r="DZB488" s="94"/>
      <c r="DZC488" s="95"/>
      <c r="DZD488" s="96"/>
      <c r="DZE488" s="97"/>
      <c r="DZF488" s="97"/>
      <c r="DZG488" s="97"/>
      <c r="DZH488" s="97"/>
      <c r="DZI488" s="97"/>
      <c r="DZJ488" s="97"/>
      <c r="DZK488" s="97"/>
      <c r="DZL488" s="97"/>
      <c r="DZN488" s="94"/>
      <c r="DZO488" s="94"/>
      <c r="DZP488" s="95"/>
      <c r="DZQ488" s="96"/>
      <c r="DZR488" s="97"/>
      <c r="DZS488" s="97"/>
      <c r="DZT488" s="97"/>
      <c r="DZU488" s="97"/>
      <c r="DZV488" s="97"/>
      <c r="DZW488" s="97"/>
      <c r="DZX488" s="97"/>
      <c r="DZY488" s="97"/>
      <c r="EAA488" s="94"/>
      <c r="EAB488" s="94"/>
      <c r="EAC488" s="95"/>
      <c r="EAD488" s="96"/>
      <c r="EAE488" s="97"/>
      <c r="EAF488" s="97"/>
      <c r="EAG488" s="97"/>
      <c r="EAH488" s="97"/>
      <c r="EAI488" s="97"/>
      <c r="EAJ488" s="97"/>
      <c r="EAK488" s="97"/>
      <c r="EAL488" s="97"/>
      <c r="EAN488" s="94"/>
      <c r="EAO488" s="94"/>
      <c r="EAP488" s="95"/>
      <c r="EAQ488" s="96"/>
      <c r="EAR488" s="97"/>
      <c r="EAS488" s="97"/>
      <c r="EAT488" s="97"/>
      <c r="EAU488" s="97"/>
      <c r="EAV488" s="97"/>
      <c r="EAW488" s="97"/>
      <c r="EAX488" s="97"/>
      <c r="EAY488" s="97"/>
      <c r="EBA488" s="94"/>
      <c r="EBB488" s="94"/>
      <c r="EBC488" s="95"/>
      <c r="EBD488" s="96"/>
      <c r="EBE488" s="97"/>
      <c r="EBF488" s="97"/>
      <c r="EBG488" s="97"/>
      <c r="EBH488" s="97"/>
      <c r="EBI488" s="97"/>
      <c r="EBJ488" s="97"/>
      <c r="EBK488" s="97"/>
      <c r="EBL488" s="97"/>
      <c r="EBN488" s="94"/>
      <c r="EBO488" s="94"/>
      <c r="EBP488" s="95"/>
      <c r="EBQ488" s="96"/>
      <c r="EBR488" s="97"/>
      <c r="EBS488" s="97"/>
      <c r="EBT488" s="97"/>
      <c r="EBU488" s="97"/>
      <c r="EBV488" s="97"/>
      <c r="EBW488" s="97"/>
      <c r="EBX488" s="97"/>
      <c r="EBY488" s="97"/>
      <c r="ECA488" s="94"/>
      <c r="ECB488" s="94"/>
      <c r="ECC488" s="95"/>
      <c r="ECD488" s="96"/>
      <c r="ECE488" s="97"/>
      <c r="ECF488" s="97"/>
      <c r="ECG488" s="97"/>
      <c r="ECH488" s="97"/>
      <c r="ECI488" s="97"/>
      <c r="ECJ488" s="97"/>
      <c r="ECK488" s="97"/>
      <c r="ECL488" s="97"/>
      <c r="ECN488" s="94"/>
      <c r="ECO488" s="94"/>
      <c r="ECP488" s="95"/>
      <c r="ECQ488" s="96"/>
      <c r="ECR488" s="97"/>
      <c r="ECS488" s="97"/>
      <c r="ECT488" s="97"/>
      <c r="ECU488" s="97"/>
      <c r="ECV488" s="97"/>
      <c r="ECW488" s="97"/>
      <c r="ECX488" s="97"/>
      <c r="ECY488" s="97"/>
      <c r="EDA488" s="94"/>
      <c r="EDB488" s="94"/>
      <c r="EDC488" s="95"/>
      <c r="EDD488" s="96"/>
      <c r="EDE488" s="97"/>
      <c r="EDF488" s="97"/>
      <c r="EDG488" s="97"/>
      <c r="EDH488" s="97"/>
      <c r="EDI488" s="97"/>
      <c r="EDJ488" s="97"/>
      <c r="EDK488" s="97"/>
      <c r="EDL488" s="97"/>
      <c r="EDN488" s="94"/>
      <c r="EDO488" s="94"/>
      <c r="EDP488" s="95"/>
      <c r="EDQ488" s="96"/>
      <c r="EDR488" s="97"/>
      <c r="EDS488" s="97"/>
      <c r="EDT488" s="97"/>
      <c r="EDU488" s="97"/>
      <c r="EDV488" s="97"/>
      <c r="EDW488" s="97"/>
      <c r="EDX488" s="97"/>
      <c r="EDY488" s="97"/>
      <c r="EEA488" s="94"/>
      <c r="EEB488" s="94"/>
      <c r="EEC488" s="95"/>
      <c r="EED488" s="96"/>
      <c r="EEE488" s="97"/>
      <c r="EEF488" s="97"/>
      <c r="EEG488" s="97"/>
      <c r="EEH488" s="97"/>
      <c r="EEI488" s="97"/>
      <c r="EEJ488" s="97"/>
      <c r="EEK488" s="97"/>
      <c r="EEL488" s="97"/>
      <c r="EEN488" s="94"/>
      <c r="EEO488" s="94"/>
      <c r="EEP488" s="95"/>
      <c r="EEQ488" s="96"/>
      <c r="EER488" s="97"/>
      <c r="EES488" s="97"/>
      <c r="EET488" s="97"/>
      <c r="EEU488" s="97"/>
      <c r="EEV488" s="97"/>
      <c r="EEW488" s="97"/>
      <c r="EEX488" s="97"/>
      <c r="EEY488" s="97"/>
      <c r="EFA488" s="94"/>
      <c r="EFB488" s="94"/>
      <c r="EFC488" s="95"/>
      <c r="EFD488" s="96"/>
      <c r="EFE488" s="97"/>
      <c r="EFF488" s="97"/>
      <c r="EFG488" s="97"/>
      <c r="EFH488" s="97"/>
      <c r="EFI488" s="97"/>
      <c r="EFJ488" s="97"/>
      <c r="EFK488" s="97"/>
      <c r="EFL488" s="97"/>
      <c r="EFN488" s="94"/>
      <c r="EFO488" s="94"/>
      <c r="EFP488" s="95"/>
      <c r="EFQ488" s="96"/>
      <c r="EFR488" s="97"/>
      <c r="EFS488" s="97"/>
      <c r="EFT488" s="97"/>
      <c r="EFU488" s="97"/>
      <c r="EFV488" s="97"/>
      <c r="EFW488" s="97"/>
      <c r="EFX488" s="97"/>
      <c r="EFY488" s="97"/>
      <c r="EGA488" s="94"/>
      <c r="EGB488" s="94"/>
      <c r="EGC488" s="95"/>
      <c r="EGD488" s="96"/>
      <c r="EGE488" s="97"/>
      <c r="EGF488" s="97"/>
      <c r="EGG488" s="97"/>
      <c r="EGH488" s="97"/>
      <c r="EGI488" s="97"/>
      <c r="EGJ488" s="97"/>
      <c r="EGK488" s="97"/>
      <c r="EGL488" s="97"/>
      <c r="EGN488" s="94"/>
      <c r="EGO488" s="94"/>
      <c r="EGP488" s="95"/>
      <c r="EGQ488" s="96"/>
      <c r="EGR488" s="97"/>
      <c r="EGS488" s="97"/>
      <c r="EGT488" s="97"/>
      <c r="EGU488" s="97"/>
      <c r="EGV488" s="97"/>
      <c r="EGW488" s="97"/>
      <c r="EGX488" s="97"/>
      <c r="EGY488" s="97"/>
      <c r="EHA488" s="94"/>
      <c r="EHB488" s="94"/>
      <c r="EHC488" s="95"/>
      <c r="EHD488" s="96"/>
      <c r="EHE488" s="97"/>
      <c r="EHF488" s="97"/>
      <c r="EHG488" s="97"/>
      <c r="EHH488" s="97"/>
      <c r="EHI488" s="97"/>
      <c r="EHJ488" s="97"/>
      <c r="EHK488" s="97"/>
      <c r="EHL488" s="97"/>
      <c r="EHN488" s="94"/>
      <c r="EHO488" s="94"/>
      <c r="EHP488" s="95"/>
      <c r="EHQ488" s="96"/>
      <c r="EHR488" s="97"/>
      <c r="EHS488" s="97"/>
      <c r="EHT488" s="97"/>
      <c r="EHU488" s="97"/>
      <c r="EHV488" s="97"/>
      <c r="EHW488" s="97"/>
      <c r="EHX488" s="97"/>
      <c r="EHY488" s="97"/>
      <c r="EIA488" s="94"/>
      <c r="EIB488" s="94"/>
      <c r="EIC488" s="95"/>
      <c r="EID488" s="96"/>
      <c r="EIE488" s="97"/>
      <c r="EIF488" s="97"/>
      <c r="EIG488" s="97"/>
      <c r="EIH488" s="97"/>
      <c r="EII488" s="97"/>
      <c r="EIJ488" s="97"/>
      <c r="EIK488" s="97"/>
      <c r="EIL488" s="97"/>
      <c r="EIN488" s="94"/>
      <c r="EIO488" s="94"/>
      <c r="EIP488" s="95"/>
      <c r="EIQ488" s="96"/>
      <c r="EIR488" s="97"/>
      <c r="EIS488" s="97"/>
      <c r="EIT488" s="97"/>
      <c r="EIU488" s="97"/>
      <c r="EIV488" s="97"/>
      <c r="EIW488" s="97"/>
      <c r="EIX488" s="97"/>
      <c r="EIY488" s="97"/>
      <c r="EJA488" s="94"/>
      <c r="EJB488" s="94"/>
      <c r="EJC488" s="95"/>
      <c r="EJD488" s="96"/>
      <c r="EJE488" s="97"/>
      <c r="EJF488" s="97"/>
      <c r="EJG488" s="97"/>
      <c r="EJH488" s="97"/>
      <c r="EJI488" s="97"/>
      <c r="EJJ488" s="97"/>
      <c r="EJK488" s="97"/>
      <c r="EJL488" s="97"/>
      <c r="EJN488" s="94"/>
      <c r="EJO488" s="94"/>
      <c r="EJP488" s="95"/>
      <c r="EJQ488" s="96"/>
      <c r="EJR488" s="97"/>
      <c r="EJS488" s="97"/>
      <c r="EJT488" s="97"/>
      <c r="EJU488" s="97"/>
      <c r="EJV488" s="97"/>
      <c r="EJW488" s="97"/>
      <c r="EJX488" s="97"/>
      <c r="EJY488" s="97"/>
      <c r="EKA488" s="94"/>
      <c r="EKB488" s="94"/>
      <c r="EKC488" s="95"/>
      <c r="EKD488" s="96"/>
      <c r="EKE488" s="97"/>
      <c r="EKF488" s="97"/>
      <c r="EKG488" s="97"/>
      <c r="EKH488" s="97"/>
      <c r="EKI488" s="97"/>
      <c r="EKJ488" s="97"/>
      <c r="EKK488" s="97"/>
      <c r="EKL488" s="97"/>
      <c r="EKN488" s="94"/>
      <c r="EKO488" s="94"/>
      <c r="EKP488" s="95"/>
      <c r="EKQ488" s="96"/>
      <c r="EKR488" s="97"/>
      <c r="EKS488" s="97"/>
      <c r="EKT488" s="97"/>
      <c r="EKU488" s="97"/>
      <c r="EKV488" s="97"/>
      <c r="EKW488" s="97"/>
      <c r="EKX488" s="97"/>
      <c r="EKY488" s="97"/>
      <c r="ELA488" s="94"/>
      <c r="ELB488" s="94"/>
      <c r="ELC488" s="95"/>
      <c r="ELD488" s="96"/>
      <c r="ELE488" s="97"/>
      <c r="ELF488" s="97"/>
      <c r="ELG488" s="97"/>
      <c r="ELH488" s="97"/>
      <c r="ELI488" s="97"/>
      <c r="ELJ488" s="97"/>
      <c r="ELK488" s="97"/>
      <c r="ELL488" s="97"/>
      <c r="ELN488" s="94"/>
      <c r="ELO488" s="94"/>
      <c r="ELP488" s="95"/>
      <c r="ELQ488" s="96"/>
      <c r="ELR488" s="97"/>
      <c r="ELS488" s="97"/>
      <c r="ELT488" s="97"/>
      <c r="ELU488" s="97"/>
      <c r="ELV488" s="97"/>
      <c r="ELW488" s="97"/>
      <c r="ELX488" s="97"/>
      <c r="ELY488" s="97"/>
      <c r="EMA488" s="94"/>
      <c r="EMB488" s="94"/>
      <c r="EMC488" s="95"/>
      <c r="EMD488" s="96"/>
      <c r="EME488" s="97"/>
      <c r="EMF488" s="97"/>
      <c r="EMG488" s="97"/>
      <c r="EMH488" s="97"/>
      <c r="EMI488" s="97"/>
      <c r="EMJ488" s="97"/>
      <c r="EMK488" s="97"/>
      <c r="EML488" s="97"/>
      <c r="EMN488" s="94"/>
      <c r="EMO488" s="94"/>
      <c r="EMP488" s="95"/>
      <c r="EMQ488" s="96"/>
      <c r="EMR488" s="97"/>
      <c r="EMS488" s="97"/>
      <c r="EMT488" s="97"/>
      <c r="EMU488" s="97"/>
      <c r="EMV488" s="97"/>
      <c r="EMW488" s="97"/>
      <c r="EMX488" s="97"/>
      <c r="EMY488" s="97"/>
      <c r="ENA488" s="94"/>
      <c r="ENB488" s="94"/>
      <c r="ENC488" s="95"/>
      <c r="END488" s="96"/>
      <c r="ENE488" s="97"/>
      <c r="ENF488" s="97"/>
      <c r="ENG488" s="97"/>
      <c r="ENH488" s="97"/>
      <c r="ENI488" s="97"/>
      <c r="ENJ488" s="97"/>
      <c r="ENK488" s="97"/>
      <c r="ENL488" s="97"/>
      <c r="ENN488" s="94"/>
      <c r="ENO488" s="94"/>
      <c r="ENP488" s="95"/>
      <c r="ENQ488" s="96"/>
      <c r="ENR488" s="97"/>
      <c r="ENS488" s="97"/>
      <c r="ENT488" s="97"/>
      <c r="ENU488" s="97"/>
      <c r="ENV488" s="97"/>
      <c r="ENW488" s="97"/>
      <c r="ENX488" s="97"/>
      <c r="ENY488" s="97"/>
      <c r="EOA488" s="94"/>
      <c r="EOB488" s="94"/>
      <c r="EOC488" s="95"/>
      <c r="EOD488" s="96"/>
      <c r="EOE488" s="97"/>
      <c r="EOF488" s="97"/>
      <c r="EOG488" s="97"/>
      <c r="EOH488" s="97"/>
      <c r="EOI488" s="97"/>
      <c r="EOJ488" s="97"/>
      <c r="EOK488" s="97"/>
      <c r="EOL488" s="97"/>
      <c r="EON488" s="94"/>
      <c r="EOO488" s="94"/>
      <c r="EOP488" s="95"/>
      <c r="EOQ488" s="96"/>
      <c r="EOR488" s="97"/>
      <c r="EOS488" s="97"/>
      <c r="EOT488" s="97"/>
      <c r="EOU488" s="97"/>
      <c r="EOV488" s="97"/>
      <c r="EOW488" s="97"/>
      <c r="EOX488" s="97"/>
      <c r="EOY488" s="97"/>
      <c r="EPA488" s="94"/>
      <c r="EPB488" s="94"/>
      <c r="EPC488" s="95"/>
      <c r="EPD488" s="96"/>
      <c r="EPE488" s="97"/>
      <c r="EPF488" s="97"/>
      <c r="EPG488" s="97"/>
      <c r="EPH488" s="97"/>
      <c r="EPI488" s="97"/>
      <c r="EPJ488" s="97"/>
      <c r="EPK488" s="97"/>
      <c r="EPL488" s="97"/>
      <c r="EPN488" s="94"/>
      <c r="EPO488" s="94"/>
      <c r="EPP488" s="95"/>
      <c r="EPQ488" s="96"/>
      <c r="EPR488" s="97"/>
      <c r="EPS488" s="97"/>
      <c r="EPT488" s="97"/>
      <c r="EPU488" s="97"/>
      <c r="EPV488" s="97"/>
      <c r="EPW488" s="97"/>
      <c r="EPX488" s="97"/>
      <c r="EPY488" s="97"/>
      <c r="EQA488" s="94"/>
      <c r="EQB488" s="94"/>
      <c r="EQC488" s="95"/>
      <c r="EQD488" s="96"/>
      <c r="EQE488" s="97"/>
      <c r="EQF488" s="97"/>
      <c r="EQG488" s="97"/>
      <c r="EQH488" s="97"/>
      <c r="EQI488" s="97"/>
      <c r="EQJ488" s="97"/>
      <c r="EQK488" s="97"/>
      <c r="EQL488" s="97"/>
      <c r="EQN488" s="94"/>
      <c r="EQO488" s="94"/>
      <c r="EQP488" s="95"/>
      <c r="EQQ488" s="96"/>
      <c r="EQR488" s="97"/>
      <c r="EQS488" s="97"/>
      <c r="EQT488" s="97"/>
      <c r="EQU488" s="97"/>
      <c r="EQV488" s="97"/>
      <c r="EQW488" s="97"/>
      <c r="EQX488" s="97"/>
      <c r="EQY488" s="97"/>
      <c r="ERA488" s="94"/>
      <c r="ERB488" s="94"/>
      <c r="ERC488" s="95"/>
      <c r="ERD488" s="96"/>
      <c r="ERE488" s="97"/>
      <c r="ERF488" s="97"/>
      <c r="ERG488" s="97"/>
      <c r="ERH488" s="97"/>
      <c r="ERI488" s="97"/>
      <c r="ERJ488" s="97"/>
      <c r="ERK488" s="97"/>
      <c r="ERL488" s="97"/>
      <c r="ERN488" s="94"/>
      <c r="ERO488" s="94"/>
      <c r="ERP488" s="95"/>
      <c r="ERQ488" s="96"/>
      <c r="ERR488" s="97"/>
      <c r="ERS488" s="97"/>
      <c r="ERT488" s="97"/>
      <c r="ERU488" s="97"/>
      <c r="ERV488" s="97"/>
      <c r="ERW488" s="97"/>
      <c r="ERX488" s="97"/>
      <c r="ERY488" s="97"/>
      <c r="ESA488" s="94"/>
      <c r="ESB488" s="94"/>
      <c r="ESC488" s="95"/>
      <c r="ESD488" s="96"/>
      <c r="ESE488" s="97"/>
      <c r="ESF488" s="97"/>
      <c r="ESG488" s="97"/>
      <c r="ESH488" s="97"/>
      <c r="ESI488" s="97"/>
      <c r="ESJ488" s="97"/>
      <c r="ESK488" s="97"/>
      <c r="ESL488" s="97"/>
      <c r="ESN488" s="94"/>
      <c r="ESO488" s="94"/>
      <c r="ESP488" s="95"/>
      <c r="ESQ488" s="96"/>
      <c r="ESR488" s="97"/>
      <c r="ESS488" s="97"/>
      <c r="EST488" s="97"/>
      <c r="ESU488" s="97"/>
      <c r="ESV488" s="97"/>
      <c r="ESW488" s="97"/>
      <c r="ESX488" s="97"/>
      <c r="ESY488" s="97"/>
      <c r="ETA488" s="94"/>
      <c r="ETB488" s="94"/>
      <c r="ETC488" s="95"/>
      <c r="ETD488" s="96"/>
      <c r="ETE488" s="97"/>
      <c r="ETF488" s="97"/>
      <c r="ETG488" s="97"/>
      <c r="ETH488" s="97"/>
      <c r="ETI488" s="97"/>
      <c r="ETJ488" s="97"/>
      <c r="ETK488" s="97"/>
      <c r="ETL488" s="97"/>
      <c r="ETN488" s="94"/>
      <c r="ETO488" s="94"/>
      <c r="ETP488" s="95"/>
      <c r="ETQ488" s="96"/>
      <c r="ETR488" s="97"/>
      <c r="ETS488" s="97"/>
      <c r="ETT488" s="97"/>
      <c r="ETU488" s="97"/>
      <c r="ETV488" s="97"/>
      <c r="ETW488" s="97"/>
      <c r="ETX488" s="97"/>
      <c r="ETY488" s="97"/>
      <c r="EUA488" s="94"/>
      <c r="EUB488" s="94"/>
      <c r="EUC488" s="95"/>
      <c r="EUD488" s="96"/>
      <c r="EUE488" s="97"/>
      <c r="EUF488" s="97"/>
      <c r="EUG488" s="97"/>
      <c r="EUH488" s="97"/>
      <c r="EUI488" s="97"/>
      <c r="EUJ488" s="97"/>
      <c r="EUK488" s="97"/>
      <c r="EUL488" s="97"/>
      <c r="EUN488" s="94"/>
      <c r="EUO488" s="94"/>
      <c r="EUP488" s="95"/>
      <c r="EUQ488" s="96"/>
      <c r="EUR488" s="97"/>
      <c r="EUS488" s="97"/>
      <c r="EUT488" s="97"/>
      <c r="EUU488" s="97"/>
      <c r="EUV488" s="97"/>
      <c r="EUW488" s="97"/>
      <c r="EUX488" s="97"/>
      <c r="EUY488" s="97"/>
      <c r="EVA488" s="94"/>
      <c r="EVB488" s="94"/>
      <c r="EVC488" s="95"/>
      <c r="EVD488" s="96"/>
      <c r="EVE488" s="97"/>
      <c r="EVF488" s="97"/>
      <c r="EVG488" s="97"/>
      <c r="EVH488" s="97"/>
      <c r="EVI488" s="97"/>
      <c r="EVJ488" s="97"/>
      <c r="EVK488" s="97"/>
      <c r="EVL488" s="97"/>
      <c r="EVN488" s="94"/>
      <c r="EVO488" s="94"/>
      <c r="EVP488" s="95"/>
      <c r="EVQ488" s="96"/>
      <c r="EVR488" s="97"/>
      <c r="EVS488" s="97"/>
      <c r="EVT488" s="97"/>
      <c r="EVU488" s="97"/>
      <c r="EVV488" s="97"/>
      <c r="EVW488" s="97"/>
      <c r="EVX488" s="97"/>
      <c r="EVY488" s="97"/>
      <c r="EWA488" s="94"/>
      <c r="EWB488" s="94"/>
      <c r="EWC488" s="95"/>
      <c r="EWD488" s="96"/>
      <c r="EWE488" s="97"/>
      <c r="EWF488" s="97"/>
      <c r="EWG488" s="97"/>
      <c r="EWH488" s="97"/>
      <c r="EWI488" s="97"/>
      <c r="EWJ488" s="97"/>
      <c r="EWK488" s="97"/>
      <c r="EWL488" s="97"/>
      <c r="EWN488" s="94"/>
      <c r="EWO488" s="94"/>
      <c r="EWP488" s="95"/>
      <c r="EWQ488" s="96"/>
      <c r="EWR488" s="97"/>
      <c r="EWS488" s="97"/>
      <c r="EWT488" s="97"/>
      <c r="EWU488" s="97"/>
      <c r="EWV488" s="97"/>
      <c r="EWW488" s="97"/>
      <c r="EWX488" s="97"/>
      <c r="EWY488" s="97"/>
      <c r="EXA488" s="94"/>
      <c r="EXB488" s="94"/>
      <c r="EXC488" s="95"/>
      <c r="EXD488" s="96"/>
      <c r="EXE488" s="97"/>
      <c r="EXF488" s="97"/>
      <c r="EXG488" s="97"/>
      <c r="EXH488" s="97"/>
      <c r="EXI488" s="97"/>
      <c r="EXJ488" s="97"/>
      <c r="EXK488" s="97"/>
      <c r="EXL488" s="97"/>
      <c r="EXN488" s="94"/>
      <c r="EXO488" s="94"/>
      <c r="EXP488" s="95"/>
      <c r="EXQ488" s="96"/>
      <c r="EXR488" s="97"/>
      <c r="EXS488" s="97"/>
      <c r="EXT488" s="97"/>
      <c r="EXU488" s="97"/>
      <c r="EXV488" s="97"/>
      <c r="EXW488" s="97"/>
      <c r="EXX488" s="97"/>
      <c r="EXY488" s="97"/>
      <c r="EYA488" s="94"/>
      <c r="EYB488" s="94"/>
      <c r="EYC488" s="95"/>
      <c r="EYD488" s="96"/>
      <c r="EYE488" s="97"/>
      <c r="EYF488" s="97"/>
      <c r="EYG488" s="97"/>
      <c r="EYH488" s="97"/>
      <c r="EYI488" s="97"/>
      <c r="EYJ488" s="97"/>
      <c r="EYK488" s="97"/>
      <c r="EYL488" s="97"/>
      <c r="EYN488" s="94"/>
      <c r="EYO488" s="94"/>
      <c r="EYP488" s="95"/>
      <c r="EYQ488" s="96"/>
      <c r="EYR488" s="97"/>
      <c r="EYS488" s="97"/>
      <c r="EYT488" s="97"/>
      <c r="EYU488" s="97"/>
      <c r="EYV488" s="97"/>
      <c r="EYW488" s="97"/>
      <c r="EYX488" s="97"/>
      <c r="EYY488" s="97"/>
      <c r="EZA488" s="94"/>
      <c r="EZB488" s="94"/>
      <c r="EZC488" s="95"/>
      <c r="EZD488" s="96"/>
      <c r="EZE488" s="97"/>
      <c r="EZF488" s="97"/>
      <c r="EZG488" s="97"/>
      <c r="EZH488" s="97"/>
      <c r="EZI488" s="97"/>
      <c r="EZJ488" s="97"/>
      <c r="EZK488" s="97"/>
      <c r="EZL488" s="97"/>
      <c r="EZN488" s="94"/>
      <c r="EZO488" s="94"/>
      <c r="EZP488" s="95"/>
      <c r="EZQ488" s="96"/>
      <c r="EZR488" s="97"/>
      <c r="EZS488" s="97"/>
      <c r="EZT488" s="97"/>
      <c r="EZU488" s="97"/>
      <c r="EZV488" s="97"/>
      <c r="EZW488" s="97"/>
      <c r="EZX488" s="97"/>
      <c r="EZY488" s="97"/>
      <c r="FAA488" s="94"/>
      <c r="FAB488" s="94"/>
      <c r="FAC488" s="95"/>
      <c r="FAD488" s="96"/>
      <c r="FAE488" s="97"/>
      <c r="FAF488" s="97"/>
      <c r="FAG488" s="97"/>
      <c r="FAH488" s="97"/>
      <c r="FAI488" s="97"/>
      <c r="FAJ488" s="97"/>
      <c r="FAK488" s="97"/>
      <c r="FAL488" s="97"/>
      <c r="FAN488" s="94"/>
      <c r="FAO488" s="94"/>
      <c r="FAP488" s="95"/>
      <c r="FAQ488" s="96"/>
      <c r="FAR488" s="97"/>
      <c r="FAS488" s="97"/>
      <c r="FAT488" s="97"/>
      <c r="FAU488" s="97"/>
      <c r="FAV488" s="97"/>
      <c r="FAW488" s="97"/>
      <c r="FAX488" s="97"/>
      <c r="FAY488" s="97"/>
      <c r="FBA488" s="94"/>
      <c r="FBB488" s="94"/>
      <c r="FBC488" s="95"/>
      <c r="FBD488" s="96"/>
      <c r="FBE488" s="97"/>
      <c r="FBF488" s="97"/>
      <c r="FBG488" s="97"/>
      <c r="FBH488" s="97"/>
      <c r="FBI488" s="97"/>
      <c r="FBJ488" s="97"/>
      <c r="FBK488" s="97"/>
      <c r="FBL488" s="97"/>
      <c r="FBN488" s="94"/>
      <c r="FBO488" s="94"/>
      <c r="FBP488" s="95"/>
      <c r="FBQ488" s="96"/>
      <c r="FBR488" s="97"/>
      <c r="FBS488" s="97"/>
      <c r="FBT488" s="97"/>
      <c r="FBU488" s="97"/>
      <c r="FBV488" s="97"/>
      <c r="FBW488" s="97"/>
      <c r="FBX488" s="97"/>
      <c r="FBY488" s="97"/>
      <c r="FCA488" s="94"/>
      <c r="FCB488" s="94"/>
      <c r="FCC488" s="95"/>
      <c r="FCD488" s="96"/>
      <c r="FCE488" s="97"/>
      <c r="FCF488" s="97"/>
      <c r="FCG488" s="97"/>
      <c r="FCH488" s="97"/>
      <c r="FCI488" s="97"/>
      <c r="FCJ488" s="97"/>
      <c r="FCK488" s="97"/>
      <c r="FCL488" s="97"/>
      <c r="FCN488" s="94"/>
      <c r="FCO488" s="94"/>
      <c r="FCP488" s="95"/>
      <c r="FCQ488" s="96"/>
      <c r="FCR488" s="97"/>
      <c r="FCS488" s="97"/>
      <c r="FCT488" s="97"/>
      <c r="FCU488" s="97"/>
      <c r="FCV488" s="97"/>
      <c r="FCW488" s="97"/>
      <c r="FCX488" s="97"/>
      <c r="FCY488" s="97"/>
      <c r="FDA488" s="94"/>
      <c r="FDB488" s="94"/>
      <c r="FDC488" s="95"/>
      <c r="FDD488" s="96"/>
      <c r="FDE488" s="97"/>
      <c r="FDF488" s="97"/>
      <c r="FDG488" s="97"/>
      <c r="FDH488" s="97"/>
      <c r="FDI488" s="97"/>
      <c r="FDJ488" s="97"/>
      <c r="FDK488" s="97"/>
      <c r="FDL488" s="97"/>
      <c r="FDN488" s="94"/>
      <c r="FDO488" s="94"/>
      <c r="FDP488" s="95"/>
      <c r="FDQ488" s="96"/>
      <c r="FDR488" s="97"/>
      <c r="FDS488" s="97"/>
      <c r="FDT488" s="97"/>
      <c r="FDU488" s="97"/>
      <c r="FDV488" s="97"/>
      <c r="FDW488" s="97"/>
      <c r="FDX488" s="97"/>
      <c r="FDY488" s="97"/>
      <c r="FEA488" s="94"/>
      <c r="FEB488" s="94"/>
      <c r="FEC488" s="95"/>
      <c r="FED488" s="96"/>
      <c r="FEE488" s="97"/>
      <c r="FEF488" s="97"/>
      <c r="FEG488" s="97"/>
      <c r="FEH488" s="97"/>
      <c r="FEI488" s="97"/>
      <c r="FEJ488" s="97"/>
      <c r="FEK488" s="97"/>
      <c r="FEL488" s="97"/>
      <c r="FEN488" s="94"/>
      <c r="FEO488" s="94"/>
      <c r="FEP488" s="95"/>
      <c r="FEQ488" s="96"/>
      <c r="FER488" s="97"/>
      <c r="FES488" s="97"/>
      <c r="FET488" s="97"/>
      <c r="FEU488" s="97"/>
      <c r="FEV488" s="97"/>
      <c r="FEW488" s="97"/>
      <c r="FEX488" s="97"/>
      <c r="FEY488" s="97"/>
      <c r="FFA488" s="94"/>
      <c r="FFB488" s="94"/>
      <c r="FFC488" s="95"/>
      <c r="FFD488" s="96"/>
      <c r="FFE488" s="97"/>
      <c r="FFF488" s="97"/>
      <c r="FFG488" s="97"/>
      <c r="FFH488" s="97"/>
      <c r="FFI488" s="97"/>
      <c r="FFJ488" s="97"/>
      <c r="FFK488" s="97"/>
      <c r="FFL488" s="97"/>
      <c r="FFN488" s="94"/>
      <c r="FFO488" s="94"/>
      <c r="FFP488" s="95"/>
      <c r="FFQ488" s="96"/>
      <c r="FFR488" s="97"/>
      <c r="FFS488" s="97"/>
      <c r="FFT488" s="97"/>
      <c r="FFU488" s="97"/>
      <c r="FFV488" s="97"/>
      <c r="FFW488" s="97"/>
      <c r="FFX488" s="97"/>
      <c r="FFY488" s="97"/>
      <c r="FGA488" s="94"/>
      <c r="FGB488" s="94"/>
      <c r="FGC488" s="95"/>
      <c r="FGD488" s="96"/>
      <c r="FGE488" s="97"/>
      <c r="FGF488" s="97"/>
      <c r="FGG488" s="97"/>
      <c r="FGH488" s="97"/>
      <c r="FGI488" s="97"/>
      <c r="FGJ488" s="97"/>
      <c r="FGK488" s="97"/>
      <c r="FGL488" s="97"/>
      <c r="FGN488" s="94"/>
      <c r="FGO488" s="94"/>
      <c r="FGP488" s="95"/>
      <c r="FGQ488" s="96"/>
      <c r="FGR488" s="97"/>
      <c r="FGS488" s="97"/>
      <c r="FGT488" s="97"/>
      <c r="FGU488" s="97"/>
      <c r="FGV488" s="97"/>
      <c r="FGW488" s="97"/>
      <c r="FGX488" s="97"/>
      <c r="FGY488" s="97"/>
      <c r="FHA488" s="94"/>
      <c r="FHB488" s="94"/>
      <c r="FHC488" s="95"/>
      <c r="FHD488" s="96"/>
      <c r="FHE488" s="97"/>
      <c r="FHF488" s="97"/>
      <c r="FHG488" s="97"/>
      <c r="FHH488" s="97"/>
      <c r="FHI488" s="97"/>
      <c r="FHJ488" s="97"/>
      <c r="FHK488" s="97"/>
      <c r="FHL488" s="97"/>
      <c r="FHN488" s="94"/>
      <c r="FHO488" s="94"/>
      <c r="FHP488" s="95"/>
      <c r="FHQ488" s="96"/>
      <c r="FHR488" s="97"/>
      <c r="FHS488" s="97"/>
      <c r="FHT488" s="97"/>
      <c r="FHU488" s="97"/>
      <c r="FHV488" s="97"/>
      <c r="FHW488" s="97"/>
      <c r="FHX488" s="97"/>
      <c r="FHY488" s="97"/>
      <c r="FIA488" s="94"/>
      <c r="FIB488" s="94"/>
      <c r="FIC488" s="95"/>
      <c r="FID488" s="96"/>
      <c r="FIE488" s="97"/>
      <c r="FIF488" s="97"/>
      <c r="FIG488" s="97"/>
      <c r="FIH488" s="97"/>
      <c r="FII488" s="97"/>
      <c r="FIJ488" s="97"/>
      <c r="FIK488" s="97"/>
      <c r="FIL488" s="97"/>
      <c r="FIN488" s="94"/>
      <c r="FIO488" s="94"/>
      <c r="FIP488" s="95"/>
      <c r="FIQ488" s="96"/>
      <c r="FIR488" s="97"/>
      <c r="FIS488" s="97"/>
      <c r="FIT488" s="97"/>
      <c r="FIU488" s="97"/>
      <c r="FIV488" s="97"/>
      <c r="FIW488" s="97"/>
      <c r="FIX488" s="97"/>
      <c r="FIY488" s="97"/>
      <c r="FJA488" s="94"/>
      <c r="FJB488" s="94"/>
      <c r="FJC488" s="95"/>
      <c r="FJD488" s="96"/>
      <c r="FJE488" s="97"/>
      <c r="FJF488" s="97"/>
      <c r="FJG488" s="97"/>
      <c r="FJH488" s="97"/>
      <c r="FJI488" s="97"/>
      <c r="FJJ488" s="97"/>
      <c r="FJK488" s="97"/>
      <c r="FJL488" s="97"/>
      <c r="FJN488" s="94"/>
      <c r="FJO488" s="94"/>
      <c r="FJP488" s="95"/>
      <c r="FJQ488" s="96"/>
      <c r="FJR488" s="97"/>
      <c r="FJS488" s="97"/>
      <c r="FJT488" s="97"/>
      <c r="FJU488" s="97"/>
      <c r="FJV488" s="97"/>
      <c r="FJW488" s="97"/>
      <c r="FJX488" s="97"/>
      <c r="FJY488" s="97"/>
      <c r="FKA488" s="94"/>
      <c r="FKB488" s="94"/>
      <c r="FKC488" s="95"/>
      <c r="FKD488" s="96"/>
      <c r="FKE488" s="97"/>
      <c r="FKF488" s="97"/>
      <c r="FKG488" s="97"/>
      <c r="FKH488" s="97"/>
      <c r="FKI488" s="97"/>
      <c r="FKJ488" s="97"/>
      <c r="FKK488" s="97"/>
      <c r="FKL488" s="97"/>
      <c r="FKN488" s="94"/>
      <c r="FKO488" s="94"/>
      <c r="FKP488" s="95"/>
      <c r="FKQ488" s="96"/>
      <c r="FKR488" s="97"/>
      <c r="FKS488" s="97"/>
      <c r="FKT488" s="97"/>
      <c r="FKU488" s="97"/>
      <c r="FKV488" s="97"/>
      <c r="FKW488" s="97"/>
      <c r="FKX488" s="97"/>
      <c r="FKY488" s="97"/>
      <c r="FLA488" s="94"/>
      <c r="FLB488" s="94"/>
      <c r="FLC488" s="95"/>
      <c r="FLD488" s="96"/>
      <c r="FLE488" s="97"/>
      <c r="FLF488" s="97"/>
      <c r="FLG488" s="97"/>
      <c r="FLH488" s="97"/>
      <c r="FLI488" s="97"/>
      <c r="FLJ488" s="97"/>
      <c r="FLK488" s="97"/>
      <c r="FLL488" s="97"/>
      <c r="FLN488" s="94"/>
      <c r="FLO488" s="94"/>
      <c r="FLP488" s="95"/>
      <c r="FLQ488" s="96"/>
      <c r="FLR488" s="97"/>
      <c r="FLS488" s="97"/>
      <c r="FLT488" s="97"/>
      <c r="FLU488" s="97"/>
      <c r="FLV488" s="97"/>
      <c r="FLW488" s="97"/>
      <c r="FLX488" s="97"/>
      <c r="FLY488" s="97"/>
      <c r="FMA488" s="94"/>
      <c r="FMB488" s="94"/>
      <c r="FMC488" s="95"/>
      <c r="FMD488" s="96"/>
      <c r="FME488" s="97"/>
      <c r="FMF488" s="97"/>
      <c r="FMG488" s="97"/>
      <c r="FMH488" s="97"/>
      <c r="FMI488" s="97"/>
      <c r="FMJ488" s="97"/>
      <c r="FMK488" s="97"/>
      <c r="FML488" s="97"/>
      <c r="FMN488" s="94"/>
      <c r="FMO488" s="94"/>
      <c r="FMP488" s="95"/>
      <c r="FMQ488" s="96"/>
      <c r="FMR488" s="97"/>
      <c r="FMS488" s="97"/>
      <c r="FMT488" s="97"/>
      <c r="FMU488" s="97"/>
      <c r="FMV488" s="97"/>
      <c r="FMW488" s="97"/>
      <c r="FMX488" s="97"/>
      <c r="FMY488" s="97"/>
      <c r="FNA488" s="94"/>
      <c r="FNB488" s="94"/>
      <c r="FNC488" s="95"/>
      <c r="FND488" s="96"/>
      <c r="FNE488" s="97"/>
      <c r="FNF488" s="97"/>
      <c r="FNG488" s="97"/>
      <c r="FNH488" s="97"/>
      <c r="FNI488" s="97"/>
      <c r="FNJ488" s="97"/>
      <c r="FNK488" s="97"/>
      <c r="FNL488" s="97"/>
      <c r="FNN488" s="94"/>
      <c r="FNO488" s="94"/>
      <c r="FNP488" s="95"/>
      <c r="FNQ488" s="96"/>
      <c r="FNR488" s="97"/>
      <c r="FNS488" s="97"/>
      <c r="FNT488" s="97"/>
      <c r="FNU488" s="97"/>
      <c r="FNV488" s="97"/>
      <c r="FNW488" s="97"/>
      <c r="FNX488" s="97"/>
      <c r="FNY488" s="97"/>
      <c r="FOA488" s="94"/>
      <c r="FOB488" s="94"/>
      <c r="FOC488" s="95"/>
      <c r="FOD488" s="96"/>
      <c r="FOE488" s="97"/>
      <c r="FOF488" s="97"/>
      <c r="FOG488" s="97"/>
      <c r="FOH488" s="97"/>
      <c r="FOI488" s="97"/>
      <c r="FOJ488" s="97"/>
      <c r="FOK488" s="97"/>
      <c r="FOL488" s="97"/>
      <c r="FON488" s="94"/>
      <c r="FOO488" s="94"/>
      <c r="FOP488" s="95"/>
      <c r="FOQ488" s="96"/>
      <c r="FOR488" s="97"/>
      <c r="FOS488" s="97"/>
      <c r="FOT488" s="97"/>
      <c r="FOU488" s="97"/>
      <c r="FOV488" s="97"/>
      <c r="FOW488" s="97"/>
      <c r="FOX488" s="97"/>
      <c r="FOY488" s="97"/>
      <c r="FPA488" s="94"/>
      <c r="FPB488" s="94"/>
      <c r="FPC488" s="95"/>
      <c r="FPD488" s="96"/>
      <c r="FPE488" s="97"/>
      <c r="FPF488" s="97"/>
      <c r="FPG488" s="97"/>
      <c r="FPH488" s="97"/>
      <c r="FPI488" s="97"/>
      <c r="FPJ488" s="97"/>
      <c r="FPK488" s="97"/>
      <c r="FPL488" s="97"/>
      <c r="FPN488" s="94"/>
      <c r="FPO488" s="94"/>
      <c r="FPP488" s="95"/>
      <c r="FPQ488" s="96"/>
      <c r="FPR488" s="97"/>
      <c r="FPS488" s="97"/>
      <c r="FPT488" s="97"/>
      <c r="FPU488" s="97"/>
      <c r="FPV488" s="97"/>
      <c r="FPW488" s="97"/>
      <c r="FPX488" s="97"/>
      <c r="FPY488" s="97"/>
      <c r="FQA488" s="94"/>
      <c r="FQB488" s="94"/>
      <c r="FQC488" s="95"/>
      <c r="FQD488" s="96"/>
      <c r="FQE488" s="97"/>
      <c r="FQF488" s="97"/>
      <c r="FQG488" s="97"/>
      <c r="FQH488" s="97"/>
      <c r="FQI488" s="97"/>
      <c r="FQJ488" s="97"/>
      <c r="FQK488" s="97"/>
      <c r="FQL488" s="97"/>
      <c r="FQN488" s="94"/>
      <c r="FQO488" s="94"/>
      <c r="FQP488" s="95"/>
      <c r="FQQ488" s="96"/>
      <c r="FQR488" s="97"/>
      <c r="FQS488" s="97"/>
      <c r="FQT488" s="97"/>
      <c r="FQU488" s="97"/>
      <c r="FQV488" s="97"/>
      <c r="FQW488" s="97"/>
      <c r="FQX488" s="97"/>
      <c r="FQY488" s="97"/>
      <c r="FRA488" s="94"/>
      <c r="FRB488" s="94"/>
      <c r="FRC488" s="95"/>
      <c r="FRD488" s="96"/>
      <c r="FRE488" s="97"/>
      <c r="FRF488" s="97"/>
      <c r="FRG488" s="97"/>
      <c r="FRH488" s="97"/>
      <c r="FRI488" s="97"/>
      <c r="FRJ488" s="97"/>
      <c r="FRK488" s="97"/>
      <c r="FRL488" s="97"/>
      <c r="FRN488" s="94"/>
      <c r="FRO488" s="94"/>
      <c r="FRP488" s="95"/>
      <c r="FRQ488" s="96"/>
      <c r="FRR488" s="97"/>
      <c r="FRS488" s="97"/>
      <c r="FRT488" s="97"/>
      <c r="FRU488" s="97"/>
      <c r="FRV488" s="97"/>
      <c r="FRW488" s="97"/>
      <c r="FRX488" s="97"/>
      <c r="FRY488" s="97"/>
      <c r="FSA488" s="94"/>
      <c r="FSB488" s="94"/>
      <c r="FSC488" s="95"/>
      <c r="FSD488" s="96"/>
      <c r="FSE488" s="97"/>
      <c r="FSF488" s="97"/>
      <c r="FSG488" s="97"/>
      <c r="FSH488" s="97"/>
      <c r="FSI488" s="97"/>
      <c r="FSJ488" s="97"/>
      <c r="FSK488" s="97"/>
      <c r="FSL488" s="97"/>
      <c r="FSN488" s="94"/>
      <c r="FSO488" s="94"/>
      <c r="FSP488" s="95"/>
      <c r="FSQ488" s="96"/>
      <c r="FSR488" s="97"/>
      <c r="FSS488" s="97"/>
      <c r="FST488" s="97"/>
      <c r="FSU488" s="97"/>
      <c r="FSV488" s="97"/>
      <c r="FSW488" s="97"/>
      <c r="FSX488" s="97"/>
      <c r="FSY488" s="97"/>
      <c r="FTA488" s="94"/>
      <c r="FTB488" s="94"/>
      <c r="FTC488" s="95"/>
      <c r="FTD488" s="96"/>
      <c r="FTE488" s="97"/>
      <c r="FTF488" s="97"/>
      <c r="FTG488" s="97"/>
      <c r="FTH488" s="97"/>
      <c r="FTI488" s="97"/>
      <c r="FTJ488" s="97"/>
      <c r="FTK488" s="97"/>
      <c r="FTL488" s="97"/>
      <c r="FTN488" s="94"/>
      <c r="FTO488" s="94"/>
      <c r="FTP488" s="95"/>
      <c r="FTQ488" s="96"/>
      <c r="FTR488" s="97"/>
      <c r="FTS488" s="97"/>
      <c r="FTT488" s="97"/>
      <c r="FTU488" s="97"/>
      <c r="FTV488" s="97"/>
      <c r="FTW488" s="97"/>
      <c r="FTX488" s="97"/>
      <c r="FTY488" s="97"/>
      <c r="FUA488" s="94"/>
      <c r="FUB488" s="94"/>
      <c r="FUC488" s="95"/>
      <c r="FUD488" s="96"/>
      <c r="FUE488" s="97"/>
      <c r="FUF488" s="97"/>
      <c r="FUG488" s="97"/>
      <c r="FUH488" s="97"/>
      <c r="FUI488" s="97"/>
      <c r="FUJ488" s="97"/>
      <c r="FUK488" s="97"/>
      <c r="FUL488" s="97"/>
      <c r="FUN488" s="94"/>
      <c r="FUO488" s="94"/>
      <c r="FUP488" s="95"/>
      <c r="FUQ488" s="96"/>
      <c r="FUR488" s="97"/>
      <c r="FUS488" s="97"/>
      <c r="FUT488" s="97"/>
      <c r="FUU488" s="97"/>
      <c r="FUV488" s="97"/>
      <c r="FUW488" s="97"/>
      <c r="FUX488" s="97"/>
      <c r="FUY488" s="97"/>
      <c r="FVA488" s="94"/>
      <c r="FVB488" s="94"/>
      <c r="FVC488" s="95"/>
      <c r="FVD488" s="96"/>
      <c r="FVE488" s="97"/>
      <c r="FVF488" s="97"/>
      <c r="FVG488" s="97"/>
      <c r="FVH488" s="97"/>
      <c r="FVI488" s="97"/>
      <c r="FVJ488" s="97"/>
      <c r="FVK488" s="97"/>
      <c r="FVL488" s="97"/>
      <c r="FVN488" s="94"/>
      <c r="FVO488" s="94"/>
      <c r="FVP488" s="95"/>
      <c r="FVQ488" s="96"/>
      <c r="FVR488" s="97"/>
      <c r="FVS488" s="97"/>
      <c r="FVT488" s="97"/>
      <c r="FVU488" s="97"/>
      <c r="FVV488" s="97"/>
      <c r="FVW488" s="97"/>
      <c r="FVX488" s="97"/>
      <c r="FVY488" s="97"/>
      <c r="FWA488" s="94"/>
      <c r="FWB488" s="94"/>
      <c r="FWC488" s="95"/>
      <c r="FWD488" s="96"/>
      <c r="FWE488" s="97"/>
      <c r="FWF488" s="97"/>
      <c r="FWG488" s="97"/>
      <c r="FWH488" s="97"/>
      <c r="FWI488" s="97"/>
      <c r="FWJ488" s="97"/>
      <c r="FWK488" s="97"/>
      <c r="FWL488" s="97"/>
      <c r="FWN488" s="94"/>
      <c r="FWO488" s="94"/>
      <c r="FWP488" s="95"/>
      <c r="FWQ488" s="96"/>
      <c r="FWR488" s="97"/>
      <c r="FWS488" s="97"/>
      <c r="FWT488" s="97"/>
      <c r="FWU488" s="97"/>
      <c r="FWV488" s="97"/>
      <c r="FWW488" s="97"/>
      <c r="FWX488" s="97"/>
      <c r="FWY488" s="97"/>
      <c r="FXA488" s="94"/>
      <c r="FXB488" s="94"/>
      <c r="FXC488" s="95"/>
      <c r="FXD488" s="96"/>
      <c r="FXE488" s="97"/>
      <c r="FXF488" s="97"/>
      <c r="FXG488" s="97"/>
      <c r="FXH488" s="97"/>
      <c r="FXI488" s="97"/>
      <c r="FXJ488" s="97"/>
      <c r="FXK488" s="97"/>
      <c r="FXL488" s="97"/>
      <c r="FXN488" s="94"/>
      <c r="FXO488" s="94"/>
      <c r="FXP488" s="95"/>
      <c r="FXQ488" s="96"/>
      <c r="FXR488" s="97"/>
      <c r="FXS488" s="97"/>
      <c r="FXT488" s="97"/>
      <c r="FXU488" s="97"/>
      <c r="FXV488" s="97"/>
      <c r="FXW488" s="97"/>
      <c r="FXX488" s="97"/>
      <c r="FXY488" s="97"/>
      <c r="FYA488" s="94"/>
      <c r="FYB488" s="94"/>
      <c r="FYC488" s="95"/>
      <c r="FYD488" s="96"/>
      <c r="FYE488" s="97"/>
      <c r="FYF488" s="97"/>
      <c r="FYG488" s="97"/>
      <c r="FYH488" s="97"/>
      <c r="FYI488" s="97"/>
      <c r="FYJ488" s="97"/>
      <c r="FYK488" s="97"/>
      <c r="FYL488" s="97"/>
      <c r="FYN488" s="94"/>
      <c r="FYO488" s="94"/>
      <c r="FYP488" s="95"/>
      <c r="FYQ488" s="96"/>
      <c r="FYR488" s="97"/>
      <c r="FYS488" s="97"/>
      <c r="FYT488" s="97"/>
      <c r="FYU488" s="97"/>
      <c r="FYV488" s="97"/>
      <c r="FYW488" s="97"/>
      <c r="FYX488" s="97"/>
      <c r="FYY488" s="97"/>
      <c r="FZA488" s="94"/>
      <c r="FZB488" s="94"/>
      <c r="FZC488" s="95"/>
      <c r="FZD488" s="96"/>
      <c r="FZE488" s="97"/>
      <c r="FZF488" s="97"/>
      <c r="FZG488" s="97"/>
      <c r="FZH488" s="97"/>
      <c r="FZI488" s="97"/>
      <c r="FZJ488" s="97"/>
      <c r="FZK488" s="97"/>
      <c r="FZL488" s="97"/>
      <c r="FZN488" s="94"/>
      <c r="FZO488" s="94"/>
      <c r="FZP488" s="95"/>
      <c r="FZQ488" s="96"/>
      <c r="FZR488" s="97"/>
      <c r="FZS488" s="97"/>
      <c r="FZT488" s="97"/>
      <c r="FZU488" s="97"/>
      <c r="FZV488" s="97"/>
      <c r="FZW488" s="97"/>
      <c r="FZX488" s="97"/>
      <c r="FZY488" s="97"/>
      <c r="GAA488" s="94"/>
      <c r="GAB488" s="94"/>
      <c r="GAC488" s="95"/>
      <c r="GAD488" s="96"/>
      <c r="GAE488" s="97"/>
      <c r="GAF488" s="97"/>
      <c r="GAG488" s="97"/>
      <c r="GAH488" s="97"/>
      <c r="GAI488" s="97"/>
      <c r="GAJ488" s="97"/>
      <c r="GAK488" s="97"/>
      <c r="GAL488" s="97"/>
      <c r="GAN488" s="94"/>
      <c r="GAO488" s="94"/>
      <c r="GAP488" s="95"/>
      <c r="GAQ488" s="96"/>
      <c r="GAR488" s="97"/>
      <c r="GAS488" s="97"/>
      <c r="GAT488" s="97"/>
      <c r="GAU488" s="97"/>
      <c r="GAV488" s="97"/>
      <c r="GAW488" s="97"/>
      <c r="GAX488" s="97"/>
      <c r="GAY488" s="97"/>
      <c r="GBA488" s="94"/>
      <c r="GBB488" s="94"/>
      <c r="GBC488" s="95"/>
      <c r="GBD488" s="96"/>
      <c r="GBE488" s="97"/>
      <c r="GBF488" s="97"/>
      <c r="GBG488" s="97"/>
      <c r="GBH488" s="97"/>
      <c r="GBI488" s="97"/>
      <c r="GBJ488" s="97"/>
      <c r="GBK488" s="97"/>
      <c r="GBL488" s="97"/>
      <c r="GBN488" s="94"/>
      <c r="GBO488" s="94"/>
      <c r="GBP488" s="95"/>
      <c r="GBQ488" s="96"/>
      <c r="GBR488" s="97"/>
      <c r="GBS488" s="97"/>
      <c r="GBT488" s="97"/>
      <c r="GBU488" s="97"/>
      <c r="GBV488" s="97"/>
      <c r="GBW488" s="97"/>
      <c r="GBX488" s="97"/>
      <c r="GBY488" s="97"/>
      <c r="GCA488" s="94"/>
      <c r="GCB488" s="94"/>
      <c r="GCC488" s="95"/>
      <c r="GCD488" s="96"/>
      <c r="GCE488" s="97"/>
      <c r="GCF488" s="97"/>
      <c r="GCG488" s="97"/>
      <c r="GCH488" s="97"/>
      <c r="GCI488" s="97"/>
      <c r="GCJ488" s="97"/>
      <c r="GCK488" s="97"/>
      <c r="GCL488" s="97"/>
      <c r="GCN488" s="94"/>
      <c r="GCO488" s="94"/>
      <c r="GCP488" s="95"/>
      <c r="GCQ488" s="96"/>
      <c r="GCR488" s="97"/>
      <c r="GCS488" s="97"/>
      <c r="GCT488" s="97"/>
      <c r="GCU488" s="97"/>
      <c r="GCV488" s="97"/>
      <c r="GCW488" s="97"/>
      <c r="GCX488" s="97"/>
      <c r="GCY488" s="97"/>
      <c r="GDA488" s="94"/>
      <c r="GDB488" s="94"/>
      <c r="GDC488" s="95"/>
      <c r="GDD488" s="96"/>
      <c r="GDE488" s="97"/>
      <c r="GDF488" s="97"/>
      <c r="GDG488" s="97"/>
      <c r="GDH488" s="97"/>
      <c r="GDI488" s="97"/>
      <c r="GDJ488" s="97"/>
      <c r="GDK488" s="97"/>
      <c r="GDL488" s="97"/>
      <c r="GDN488" s="94"/>
      <c r="GDO488" s="94"/>
      <c r="GDP488" s="95"/>
      <c r="GDQ488" s="96"/>
      <c r="GDR488" s="97"/>
      <c r="GDS488" s="97"/>
      <c r="GDT488" s="97"/>
      <c r="GDU488" s="97"/>
      <c r="GDV488" s="97"/>
      <c r="GDW488" s="97"/>
      <c r="GDX488" s="97"/>
      <c r="GDY488" s="97"/>
      <c r="GEA488" s="94"/>
      <c r="GEB488" s="94"/>
      <c r="GEC488" s="95"/>
      <c r="GED488" s="96"/>
      <c r="GEE488" s="97"/>
      <c r="GEF488" s="97"/>
      <c r="GEG488" s="97"/>
      <c r="GEH488" s="97"/>
      <c r="GEI488" s="97"/>
      <c r="GEJ488" s="97"/>
      <c r="GEK488" s="97"/>
      <c r="GEL488" s="97"/>
      <c r="GEN488" s="94"/>
      <c r="GEO488" s="94"/>
      <c r="GEP488" s="95"/>
      <c r="GEQ488" s="96"/>
      <c r="GER488" s="97"/>
      <c r="GES488" s="97"/>
      <c r="GET488" s="97"/>
      <c r="GEU488" s="97"/>
      <c r="GEV488" s="97"/>
      <c r="GEW488" s="97"/>
      <c r="GEX488" s="97"/>
      <c r="GEY488" s="97"/>
      <c r="GFA488" s="94"/>
      <c r="GFB488" s="94"/>
      <c r="GFC488" s="95"/>
      <c r="GFD488" s="96"/>
      <c r="GFE488" s="97"/>
      <c r="GFF488" s="97"/>
      <c r="GFG488" s="97"/>
      <c r="GFH488" s="97"/>
      <c r="GFI488" s="97"/>
      <c r="GFJ488" s="97"/>
      <c r="GFK488" s="97"/>
      <c r="GFL488" s="97"/>
      <c r="GFN488" s="94"/>
      <c r="GFO488" s="94"/>
      <c r="GFP488" s="95"/>
      <c r="GFQ488" s="96"/>
      <c r="GFR488" s="97"/>
      <c r="GFS488" s="97"/>
      <c r="GFT488" s="97"/>
      <c r="GFU488" s="97"/>
      <c r="GFV488" s="97"/>
      <c r="GFW488" s="97"/>
      <c r="GFX488" s="97"/>
      <c r="GFY488" s="97"/>
      <c r="GGA488" s="94"/>
      <c r="GGB488" s="94"/>
      <c r="GGC488" s="95"/>
      <c r="GGD488" s="96"/>
      <c r="GGE488" s="97"/>
      <c r="GGF488" s="97"/>
      <c r="GGG488" s="97"/>
      <c r="GGH488" s="97"/>
      <c r="GGI488" s="97"/>
      <c r="GGJ488" s="97"/>
      <c r="GGK488" s="97"/>
      <c r="GGL488" s="97"/>
      <c r="GGN488" s="94"/>
      <c r="GGO488" s="94"/>
      <c r="GGP488" s="95"/>
      <c r="GGQ488" s="96"/>
      <c r="GGR488" s="97"/>
      <c r="GGS488" s="97"/>
      <c r="GGT488" s="97"/>
      <c r="GGU488" s="97"/>
      <c r="GGV488" s="97"/>
      <c r="GGW488" s="97"/>
      <c r="GGX488" s="97"/>
      <c r="GGY488" s="97"/>
      <c r="GHA488" s="94"/>
      <c r="GHB488" s="94"/>
      <c r="GHC488" s="95"/>
      <c r="GHD488" s="96"/>
      <c r="GHE488" s="97"/>
      <c r="GHF488" s="97"/>
      <c r="GHG488" s="97"/>
      <c r="GHH488" s="97"/>
      <c r="GHI488" s="97"/>
      <c r="GHJ488" s="97"/>
      <c r="GHK488" s="97"/>
      <c r="GHL488" s="97"/>
      <c r="GHN488" s="94"/>
      <c r="GHO488" s="94"/>
      <c r="GHP488" s="95"/>
      <c r="GHQ488" s="96"/>
      <c r="GHR488" s="97"/>
      <c r="GHS488" s="97"/>
      <c r="GHT488" s="97"/>
      <c r="GHU488" s="97"/>
      <c r="GHV488" s="97"/>
      <c r="GHW488" s="97"/>
      <c r="GHX488" s="97"/>
      <c r="GHY488" s="97"/>
      <c r="GIA488" s="94"/>
      <c r="GIB488" s="94"/>
      <c r="GIC488" s="95"/>
      <c r="GID488" s="96"/>
      <c r="GIE488" s="97"/>
      <c r="GIF488" s="97"/>
      <c r="GIG488" s="97"/>
      <c r="GIH488" s="97"/>
      <c r="GII488" s="97"/>
      <c r="GIJ488" s="97"/>
      <c r="GIK488" s="97"/>
      <c r="GIL488" s="97"/>
      <c r="GIN488" s="94"/>
      <c r="GIO488" s="94"/>
      <c r="GIP488" s="95"/>
      <c r="GIQ488" s="96"/>
      <c r="GIR488" s="97"/>
      <c r="GIS488" s="97"/>
      <c r="GIT488" s="97"/>
      <c r="GIU488" s="97"/>
      <c r="GIV488" s="97"/>
      <c r="GIW488" s="97"/>
      <c r="GIX488" s="97"/>
      <c r="GIY488" s="97"/>
      <c r="GJA488" s="94"/>
      <c r="GJB488" s="94"/>
      <c r="GJC488" s="95"/>
      <c r="GJD488" s="96"/>
      <c r="GJE488" s="97"/>
      <c r="GJF488" s="97"/>
      <c r="GJG488" s="97"/>
      <c r="GJH488" s="97"/>
      <c r="GJI488" s="97"/>
      <c r="GJJ488" s="97"/>
      <c r="GJK488" s="97"/>
      <c r="GJL488" s="97"/>
      <c r="GJN488" s="94"/>
      <c r="GJO488" s="94"/>
      <c r="GJP488" s="95"/>
      <c r="GJQ488" s="96"/>
      <c r="GJR488" s="97"/>
      <c r="GJS488" s="97"/>
      <c r="GJT488" s="97"/>
      <c r="GJU488" s="97"/>
      <c r="GJV488" s="97"/>
      <c r="GJW488" s="97"/>
      <c r="GJX488" s="97"/>
      <c r="GJY488" s="97"/>
      <c r="GKA488" s="94"/>
      <c r="GKB488" s="94"/>
      <c r="GKC488" s="95"/>
      <c r="GKD488" s="96"/>
      <c r="GKE488" s="97"/>
      <c r="GKF488" s="97"/>
      <c r="GKG488" s="97"/>
      <c r="GKH488" s="97"/>
      <c r="GKI488" s="97"/>
      <c r="GKJ488" s="97"/>
      <c r="GKK488" s="97"/>
      <c r="GKL488" s="97"/>
      <c r="GKN488" s="94"/>
      <c r="GKO488" s="94"/>
      <c r="GKP488" s="95"/>
      <c r="GKQ488" s="96"/>
      <c r="GKR488" s="97"/>
      <c r="GKS488" s="97"/>
      <c r="GKT488" s="97"/>
      <c r="GKU488" s="97"/>
      <c r="GKV488" s="97"/>
      <c r="GKW488" s="97"/>
      <c r="GKX488" s="97"/>
      <c r="GKY488" s="97"/>
      <c r="GLA488" s="94"/>
      <c r="GLB488" s="94"/>
      <c r="GLC488" s="95"/>
      <c r="GLD488" s="96"/>
      <c r="GLE488" s="97"/>
      <c r="GLF488" s="97"/>
      <c r="GLG488" s="97"/>
      <c r="GLH488" s="97"/>
      <c r="GLI488" s="97"/>
      <c r="GLJ488" s="97"/>
      <c r="GLK488" s="97"/>
      <c r="GLL488" s="97"/>
      <c r="GLN488" s="94"/>
      <c r="GLO488" s="94"/>
      <c r="GLP488" s="95"/>
      <c r="GLQ488" s="96"/>
      <c r="GLR488" s="97"/>
      <c r="GLS488" s="97"/>
      <c r="GLT488" s="97"/>
      <c r="GLU488" s="97"/>
      <c r="GLV488" s="97"/>
      <c r="GLW488" s="97"/>
      <c r="GLX488" s="97"/>
      <c r="GLY488" s="97"/>
      <c r="GMA488" s="94"/>
      <c r="GMB488" s="94"/>
      <c r="GMC488" s="95"/>
      <c r="GMD488" s="96"/>
      <c r="GME488" s="97"/>
      <c r="GMF488" s="97"/>
      <c r="GMG488" s="97"/>
      <c r="GMH488" s="97"/>
      <c r="GMI488" s="97"/>
      <c r="GMJ488" s="97"/>
      <c r="GMK488" s="97"/>
      <c r="GML488" s="97"/>
      <c r="GMN488" s="94"/>
      <c r="GMO488" s="94"/>
      <c r="GMP488" s="95"/>
      <c r="GMQ488" s="96"/>
      <c r="GMR488" s="97"/>
      <c r="GMS488" s="97"/>
      <c r="GMT488" s="97"/>
      <c r="GMU488" s="97"/>
      <c r="GMV488" s="97"/>
      <c r="GMW488" s="97"/>
      <c r="GMX488" s="97"/>
      <c r="GMY488" s="97"/>
      <c r="GNA488" s="94"/>
      <c r="GNB488" s="94"/>
      <c r="GNC488" s="95"/>
      <c r="GND488" s="96"/>
      <c r="GNE488" s="97"/>
      <c r="GNF488" s="97"/>
      <c r="GNG488" s="97"/>
      <c r="GNH488" s="97"/>
      <c r="GNI488" s="97"/>
      <c r="GNJ488" s="97"/>
      <c r="GNK488" s="97"/>
      <c r="GNL488" s="97"/>
      <c r="GNN488" s="94"/>
      <c r="GNO488" s="94"/>
      <c r="GNP488" s="95"/>
      <c r="GNQ488" s="96"/>
      <c r="GNR488" s="97"/>
      <c r="GNS488" s="97"/>
      <c r="GNT488" s="97"/>
      <c r="GNU488" s="97"/>
      <c r="GNV488" s="97"/>
      <c r="GNW488" s="97"/>
      <c r="GNX488" s="97"/>
      <c r="GNY488" s="97"/>
      <c r="GOA488" s="94"/>
      <c r="GOB488" s="94"/>
      <c r="GOC488" s="95"/>
      <c r="GOD488" s="96"/>
      <c r="GOE488" s="97"/>
      <c r="GOF488" s="97"/>
      <c r="GOG488" s="97"/>
      <c r="GOH488" s="97"/>
      <c r="GOI488" s="97"/>
      <c r="GOJ488" s="97"/>
      <c r="GOK488" s="97"/>
      <c r="GOL488" s="97"/>
      <c r="GON488" s="94"/>
      <c r="GOO488" s="94"/>
      <c r="GOP488" s="95"/>
      <c r="GOQ488" s="96"/>
      <c r="GOR488" s="97"/>
      <c r="GOS488" s="97"/>
      <c r="GOT488" s="97"/>
      <c r="GOU488" s="97"/>
      <c r="GOV488" s="97"/>
      <c r="GOW488" s="97"/>
      <c r="GOX488" s="97"/>
      <c r="GOY488" s="97"/>
      <c r="GPA488" s="94"/>
      <c r="GPB488" s="94"/>
      <c r="GPC488" s="95"/>
      <c r="GPD488" s="96"/>
      <c r="GPE488" s="97"/>
      <c r="GPF488" s="97"/>
      <c r="GPG488" s="97"/>
      <c r="GPH488" s="97"/>
      <c r="GPI488" s="97"/>
      <c r="GPJ488" s="97"/>
      <c r="GPK488" s="97"/>
      <c r="GPL488" s="97"/>
      <c r="GPN488" s="94"/>
      <c r="GPO488" s="94"/>
      <c r="GPP488" s="95"/>
      <c r="GPQ488" s="96"/>
      <c r="GPR488" s="97"/>
      <c r="GPS488" s="97"/>
      <c r="GPT488" s="97"/>
      <c r="GPU488" s="97"/>
      <c r="GPV488" s="97"/>
      <c r="GPW488" s="97"/>
      <c r="GPX488" s="97"/>
      <c r="GPY488" s="97"/>
      <c r="GQA488" s="94"/>
      <c r="GQB488" s="94"/>
      <c r="GQC488" s="95"/>
      <c r="GQD488" s="96"/>
      <c r="GQE488" s="97"/>
      <c r="GQF488" s="97"/>
      <c r="GQG488" s="97"/>
      <c r="GQH488" s="97"/>
      <c r="GQI488" s="97"/>
      <c r="GQJ488" s="97"/>
      <c r="GQK488" s="97"/>
      <c r="GQL488" s="97"/>
      <c r="GQN488" s="94"/>
      <c r="GQO488" s="94"/>
      <c r="GQP488" s="95"/>
      <c r="GQQ488" s="96"/>
      <c r="GQR488" s="97"/>
      <c r="GQS488" s="97"/>
      <c r="GQT488" s="97"/>
      <c r="GQU488" s="97"/>
      <c r="GQV488" s="97"/>
      <c r="GQW488" s="97"/>
      <c r="GQX488" s="97"/>
      <c r="GQY488" s="97"/>
      <c r="GRA488" s="94"/>
      <c r="GRB488" s="94"/>
      <c r="GRC488" s="95"/>
      <c r="GRD488" s="96"/>
      <c r="GRE488" s="97"/>
      <c r="GRF488" s="97"/>
      <c r="GRG488" s="97"/>
      <c r="GRH488" s="97"/>
      <c r="GRI488" s="97"/>
      <c r="GRJ488" s="97"/>
      <c r="GRK488" s="97"/>
      <c r="GRL488" s="97"/>
      <c r="GRN488" s="94"/>
      <c r="GRO488" s="94"/>
      <c r="GRP488" s="95"/>
      <c r="GRQ488" s="96"/>
      <c r="GRR488" s="97"/>
      <c r="GRS488" s="97"/>
      <c r="GRT488" s="97"/>
      <c r="GRU488" s="97"/>
      <c r="GRV488" s="97"/>
      <c r="GRW488" s="97"/>
      <c r="GRX488" s="97"/>
      <c r="GRY488" s="97"/>
      <c r="GSA488" s="94"/>
      <c r="GSB488" s="94"/>
      <c r="GSC488" s="95"/>
      <c r="GSD488" s="96"/>
      <c r="GSE488" s="97"/>
      <c r="GSF488" s="97"/>
      <c r="GSG488" s="97"/>
      <c r="GSH488" s="97"/>
      <c r="GSI488" s="97"/>
      <c r="GSJ488" s="97"/>
      <c r="GSK488" s="97"/>
      <c r="GSL488" s="97"/>
      <c r="GSN488" s="94"/>
      <c r="GSO488" s="94"/>
      <c r="GSP488" s="95"/>
      <c r="GSQ488" s="96"/>
      <c r="GSR488" s="97"/>
      <c r="GSS488" s="97"/>
      <c r="GST488" s="97"/>
      <c r="GSU488" s="97"/>
      <c r="GSV488" s="97"/>
      <c r="GSW488" s="97"/>
      <c r="GSX488" s="97"/>
      <c r="GSY488" s="97"/>
      <c r="GTA488" s="94"/>
      <c r="GTB488" s="94"/>
      <c r="GTC488" s="95"/>
      <c r="GTD488" s="96"/>
      <c r="GTE488" s="97"/>
      <c r="GTF488" s="97"/>
      <c r="GTG488" s="97"/>
      <c r="GTH488" s="97"/>
      <c r="GTI488" s="97"/>
      <c r="GTJ488" s="97"/>
      <c r="GTK488" s="97"/>
      <c r="GTL488" s="97"/>
      <c r="GTN488" s="94"/>
      <c r="GTO488" s="94"/>
      <c r="GTP488" s="95"/>
      <c r="GTQ488" s="96"/>
      <c r="GTR488" s="97"/>
      <c r="GTS488" s="97"/>
      <c r="GTT488" s="97"/>
      <c r="GTU488" s="97"/>
      <c r="GTV488" s="97"/>
      <c r="GTW488" s="97"/>
      <c r="GTX488" s="97"/>
      <c r="GTY488" s="97"/>
      <c r="GUA488" s="94"/>
      <c r="GUB488" s="94"/>
      <c r="GUC488" s="95"/>
      <c r="GUD488" s="96"/>
      <c r="GUE488" s="97"/>
      <c r="GUF488" s="97"/>
      <c r="GUG488" s="97"/>
      <c r="GUH488" s="97"/>
      <c r="GUI488" s="97"/>
      <c r="GUJ488" s="97"/>
      <c r="GUK488" s="97"/>
      <c r="GUL488" s="97"/>
      <c r="GUN488" s="94"/>
      <c r="GUO488" s="94"/>
      <c r="GUP488" s="95"/>
      <c r="GUQ488" s="96"/>
      <c r="GUR488" s="97"/>
      <c r="GUS488" s="97"/>
      <c r="GUT488" s="97"/>
      <c r="GUU488" s="97"/>
      <c r="GUV488" s="97"/>
      <c r="GUW488" s="97"/>
      <c r="GUX488" s="97"/>
      <c r="GUY488" s="97"/>
      <c r="GVA488" s="94"/>
      <c r="GVB488" s="94"/>
      <c r="GVC488" s="95"/>
      <c r="GVD488" s="96"/>
      <c r="GVE488" s="97"/>
      <c r="GVF488" s="97"/>
      <c r="GVG488" s="97"/>
      <c r="GVH488" s="97"/>
      <c r="GVI488" s="97"/>
      <c r="GVJ488" s="97"/>
      <c r="GVK488" s="97"/>
      <c r="GVL488" s="97"/>
      <c r="GVN488" s="94"/>
      <c r="GVO488" s="94"/>
      <c r="GVP488" s="95"/>
      <c r="GVQ488" s="96"/>
      <c r="GVR488" s="97"/>
      <c r="GVS488" s="97"/>
      <c r="GVT488" s="97"/>
      <c r="GVU488" s="97"/>
      <c r="GVV488" s="97"/>
      <c r="GVW488" s="97"/>
      <c r="GVX488" s="97"/>
      <c r="GVY488" s="97"/>
      <c r="GWA488" s="94"/>
      <c r="GWB488" s="94"/>
      <c r="GWC488" s="95"/>
      <c r="GWD488" s="96"/>
      <c r="GWE488" s="97"/>
      <c r="GWF488" s="97"/>
      <c r="GWG488" s="97"/>
      <c r="GWH488" s="97"/>
      <c r="GWI488" s="97"/>
      <c r="GWJ488" s="97"/>
      <c r="GWK488" s="97"/>
      <c r="GWL488" s="97"/>
      <c r="GWN488" s="94"/>
      <c r="GWO488" s="94"/>
      <c r="GWP488" s="95"/>
      <c r="GWQ488" s="96"/>
      <c r="GWR488" s="97"/>
      <c r="GWS488" s="97"/>
      <c r="GWT488" s="97"/>
      <c r="GWU488" s="97"/>
      <c r="GWV488" s="97"/>
      <c r="GWW488" s="97"/>
      <c r="GWX488" s="97"/>
      <c r="GWY488" s="97"/>
      <c r="GXA488" s="94"/>
      <c r="GXB488" s="94"/>
      <c r="GXC488" s="95"/>
      <c r="GXD488" s="96"/>
      <c r="GXE488" s="97"/>
      <c r="GXF488" s="97"/>
      <c r="GXG488" s="97"/>
      <c r="GXH488" s="97"/>
      <c r="GXI488" s="97"/>
      <c r="GXJ488" s="97"/>
      <c r="GXK488" s="97"/>
      <c r="GXL488" s="97"/>
      <c r="GXN488" s="94"/>
      <c r="GXO488" s="94"/>
      <c r="GXP488" s="95"/>
      <c r="GXQ488" s="96"/>
      <c r="GXR488" s="97"/>
      <c r="GXS488" s="97"/>
      <c r="GXT488" s="97"/>
      <c r="GXU488" s="97"/>
      <c r="GXV488" s="97"/>
      <c r="GXW488" s="97"/>
      <c r="GXX488" s="97"/>
      <c r="GXY488" s="97"/>
      <c r="GYA488" s="94"/>
      <c r="GYB488" s="94"/>
      <c r="GYC488" s="95"/>
      <c r="GYD488" s="96"/>
      <c r="GYE488" s="97"/>
      <c r="GYF488" s="97"/>
      <c r="GYG488" s="97"/>
      <c r="GYH488" s="97"/>
      <c r="GYI488" s="97"/>
      <c r="GYJ488" s="97"/>
      <c r="GYK488" s="97"/>
      <c r="GYL488" s="97"/>
      <c r="GYN488" s="94"/>
      <c r="GYO488" s="94"/>
      <c r="GYP488" s="95"/>
      <c r="GYQ488" s="96"/>
      <c r="GYR488" s="97"/>
      <c r="GYS488" s="97"/>
      <c r="GYT488" s="97"/>
      <c r="GYU488" s="97"/>
      <c r="GYV488" s="97"/>
      <c r="GYW488" s="97"/>
      <c r="GYX488" s="97"/>
      <c r="GYY488" s="97"/>
      <c r="GZA488" s="94"/>
      <c r="GZB488" s="94"/>
      <c r="GZC488" s="95"/>
      <c r="GZD488" s="96"/>
      <c r="GZE488" s="97"/>
      <c r="GZF488" s="97"/>
      <c r="GZG488" s="97"/>
      <c r="GZH488" s="97"/>
      <c r="GZI488" s="97"/>
      <c r="GZJ488" s="97"/>
      <c r="GZK488" s="97"/>
      <c r="GZL488" s="97"/>
      <c r="GZN488" s="94"/>
      <c r="GZO488" s="94"/>
      <c r="GZP488" s="95"/>
      <c r="GZQ488" s="96"/>
      <c r="GZR488" s="97"/>
      <c r="GZS488" s="97"/>
      <c r="GZT488" s="97"/>
      <c r="GZU488" s="97"/>
      <c r="GZV488" s="97"/>
      <c r="GZW488" s="97"/>
      <c r="GZX488" s="97"/>
      <c r="GZY488" s="97"/>
      <c r="HAA488" s="94"/>
      <c r="HAB488" s="94"/>
      <c r="HAC488" s="95"/>
      <c r="HAD488" s="96"/>
      <c r="HAE488" s="97"/>
      <c r="HAF488" s="97"/>
      <c r="HAG488" s="97"/>
      <c r="HAH488" s="97"/>
      <c r="HAI488" s="97"/>
      <c r="HAJ488" s="97"/>
      <c r="HAK488" s="97"/>
      <c r="HAL488" s="97"/>
      <c r="HAN488" s="94"/>
      <c r="HAO488" s="94"/>
      <c r="HAP488" s="95"/>
      <c r="HAQ488" s="96"/>
      <c r="HAR488" s="97"/>
      <c r="HAS488" s="97"/>
      <c r="HAT488" s="97"/>
      <c r="HAU488" s="97"/>
      <c r="HAV488" s="97"/>
      <c r="HAW488" s="97"/>
      <c r="HAX488" s="97"/>
      <c r="HAY488" s="97"/>
      <c r="HBA488" s="94"/>
      <c r="HBB488" s="94"/>
      <c r="HBC488" s="95"/>
      <c r="HBD488" s="96"/>
      <c r="HBE488" s="97"/>
      <c r="HBF488" s="97"/>
      <c r="HBG488" s="97"/>
      <c r="HBH488" s="97"/>
      <c r="HBI488" s="97"/>
      <c r="HBJ488" s="97"/>
      <c r="HBK488" s="97"/>
      <c r="HBL488" s="97"/>
      <c r="HBN488" s="94"/>
      <c r="HBO488" s="94"/>
      <c r="HBP488" s="95"/>
      <c r="HBQ488" s="96"/>
      <c r="HBR488" s="97"/>
      <c r="HBS488" s="97"/>
      <c r="HBT488" s="97"/>
      <c r="HBU488" s="97"/>
      <c r="HBV488" s="97"/>
      <c r="HBW488" s="97"/>
      <c r="HBX488" s="97"/>
      <c r="HBY488" s="97"/>
      <c r="HCA488" s="94"/>
      <c r="HCB488" s="94"/>
      <c r="HCC488" s="95"/>
      <c r="HCD488" s="96"/>
      <c r="HCE488" s="97"/>
      <c r="HCF488" s="97"/>
      <c r="HCG488" s="97"/>
      <c r="HCH488" s="97"/>
      <c r="HCI488" s="97"/>
      <c r="HCJ488" s="97"/>
      <c r="HCK488" s="97"/>
      <c r="HCL488" s="97"/>
      <c r="HCN488" s="94"/>
      <c r="HCO488" s="94"/>
      <c r="HCP488" s="95"/>
      <c r="HCQ488" s="96"/>
      <c r="HCR488" s="97"/>
      <c r="HCS488" s="97"/>
      <c r="HCT488" s="97"/>
      <c r="HCU488" s="97"/>
      <c r="HCV488" s="97"/>
      <c r="HCW488" s="97"/>
      <c r="HCX488" s="97"/>
      <c r="HCY488" s="97"/>
      <c r="HDA488" s="94"/>
      <c r="HDB488" s="94"/>
      <c r="HDC488" s="95"/>
      <c r="HDD488" s="96"/>
      <c r="HDE488" s="97"/>
      <c r="HDF488" s="97"/>
      <c r="HDG488" s="97"/>
      <c r="HDH488" s="97"/>
      <c r="HDI488" s="97"/>
      <c r="HDJ488" s="97"/>
      <c r="HDK488" s="97"/>
      <c r="HDL488" s="97"/>
      <c r="HDN488" s="94"/>
      <c r="HDO488" s="94"/>
      <c r="HDP488" s="95"/>
      <c r="HDQ488" s="96"/>
      <c r="HDR488" s="97"/>
      <c r="HDS488" s="97"/>
      <c r="HDT488" s="97"/>
      <c r="HDU488" s="97"/>
      <c r="HDV488" s="97"/>
      <c r="HDW488" s="97"/>
      <c r="HDX488" s="97"/>
      <c r="HDY488" s="97"/>
      <c r="HEA488" s="94"/>
      <c r="HEB488" s="94"/>
      <c r="HEC488" s="95"/>
      <c r="HED488" s="96"/>
      <c r="HEE488" s="97"/>
      <c r="HEF488" s="97"/>
      <c r="HEG488" s="97"/>
      <c r="HEH488" s="97"/>
      <c r="HEI488" s="97"/>
      <c r="HEJ488" s="97"/>
      <c r="HEK488" s="97"/>
      <c r="HEL488" s="97"/>
      <c r="HEN488" s="94"/>
      <c r="HEO488" s="94"/>
      <c r="HEP488" s="95"/>
      <c r="HEQ488" s="96"/>
      <c r="HER488" s="97"/>
      <c r="HES488" s="97"/>
      <c r="HET488" s="97"/>
      <c r="HEU488" s="97"/>
      <c r="HEV488" s="97"/>
      <c r="HEW488" s="97"/>
      <c r="HEX488" s="97"/>
      <c r="HEY488" s="97"/>
      <c r="HFA488" s="94"/>
      <c r="HFB488" s="94"/>
      <c r="HFC488" s="95"/>
      <c r="HFD488" s="96"/>
      <c r="HFE488" s="97"/>
      <c r="HFF488" s="97"/>
      <c r="HFG488" s="97"/>
      <c r="HFH488" s="97"/>
      <c r="HFI488" s="97"/>
      <c r="HFJ488" s="97"/>
      <c r="HFK488" s="97"/>
      <c r="HFL488" s="97"/>
      <c r="HFN488" s="94"/>
      <c r="HFO488" s="94"/>
      <c r="HFP488" s="95"/>
      <c r="HFQ488" s="96"/>
      <c r="HFR488" s="97"/>
      <c r="HFS488" s="97"/>
      <c r="HFT488" s="97"/>
      <c r="HFU488" s="97"/>
      <c r="HFV488" s="97"/>
      <c r="HFW488" s="97"/>
      <c r="HFX488" s="97"/>
      <c r="HFY488" s="97"/>
      <c r="HGA488" s="94"/>
      <c r="HGB488" s="94"/>
      <c r="HGC488" s="95"/>
      <c r="HGD488" s="96"/>
      <c r="HGE488" s="97"/>
      <c r="HGF488" s="97"/>
      <c r="HGG488" s="97"/>
      <c r="HGH488" s="97"/>
      <c r="HGI488" s="97"/>
      <c r="HGJ488" s="97"/>
      <c r="HGK488" s="97"/>
      <c r="HGL488" s="97"/>
      <c r="HGN488" s="94"/>
      <c r="HGO488" s="94"/>
      <c r="HGP488" s="95"/>
      <c r="HGQ488" s="96"/>
      <c r="HGR488" s="97"/>
      <c r="HGS488" s="97"/>
      <c r="HGT488" s="97"/>
      <c r="HGU488" s="97"/>
      <c r="HGV488" s="97"/>
      <c r="HGW488" s="97"/>
      <c r="HGX488" s="97"/>
      <c r="HGY488" s="97"/>
      <c r="HHA488" s="94"/>
      <c r="HHB488" s="94"/>
      <c r="HHC488" s="95"/>
      <c r="HHD488" s="96"/>
      <c r="HHE488" s="97"/>
      <c r="HHF488" s="97"/>
      <c r="HHG488" s="97"/>
      <c r="HHH488" s="97"/>
      <c r="HHI488" s="97"/>
      <c r="HHJ488" s="97"/>
      <c r="HHK488" s="97"/>
      <c r="HHL488" s="97"/>
      <c r="HHN488" s="94"/>
      <c r="HHO488" s="94"/>
      <c r="HHP488" s="95"/>
      <c r="HHQ488" s="96"/>
      <c r="HHR488" s="97"/>
      <c r="HHS488" s="97"/>
      <c r="HHT488" s="97"/>
      <c r="HHU488" s="97"/>
      <c r="HHV488" s="97"/>
      <c r="HHW488" s="97"/>
      <c r="HHX488" s="97"/>
      <c r="HHY488" s="97"/>
      <c r="HIA488" s="94"/>
      <c r="HIB488" s="94"/>
      <c r="HIC488" s="95"/>
      <c r="HID488" s="96"/>
      <c r="HIE488" s="97"/>
      <c r="HIF488" s="97"/>
      <c r="HIG488" s="97"/>
      <c r="HIH488" s="97"/>
      <c r="HII488" s="97"/>
      <c r="HIJ488" s="97"/>
      <c r="HIK488" s="97"/>
      <c r="HIL488" s="97"/>
      <c r="HIN488" s="94"/>
      <c r="HIO488" s="94"/>
      <c r="HIP488" s="95"/>
      <c r="HIQ488" s="96"/>
      <c r="HIR488" s="97"/>
      <c r="HIS488" s="97"/>
      <c r="HIT488" s="97"/>
      <c r="HIU488" s="97"/>
      <c r="HIV488" s="97"/>
      <c r="HIW488" s="97"/>
      <c r="HIX488" s="97"/>
      <c r="HIY488" s="97"/>
      <c r="HJA488" s="94"/>
      <c r="HJB488" s="94"/>
      <c r="HJC488" s="95"/>
      <c r="HJD488" s="96"/>
      <c r="HJE488" s="97"/>
      <c r="HJF488" s="97"/>
      <c r="HJG488" s="97"/>
      <c r="HJH488" s="97"/>
      <c r="HJI488" s="97"/>
      <c r="HJJ488" s="97"/>
      <c r="HJK488" s="97"/>
      <c r="HJL488" s="97"/>
      <c r="HJN488" s="94"/>
      <c r="HJO488" s="94"/>
      <c r="HJP488" s="95"/>
      <c r="HJQ488" s="96"/>
      <c r="HJR488" s="97"/>
      <c r="HJS488" s="97"/>
      <c r="HJT488" s="97"/>
      <c r="HJU488" s="97"/>
      <c r="HJV488" s="97"/>
      <c r="HJW488" s="97"/>
      <c r="HJX488" s="97"/>
      <c r="HJY488" s="97"/>
      <c r="HKA488" s="94"/>
      <c r="HKB488" s="94"/>
      <c r="HKC488" s="95"/>
      <c r="HKD488" s="96"/>
      <c r="HKE488" s="97"/>
      <c r="HKF488" s="97"/>
      <c r="HKG488" s="97"/>
      <c r="HKH488" s="97"/>
      <c r="HKI488" s="97"/>
      <c r="HKJ488" s="97"/>
      <c r="HKK488" s="97"/>
      <c r="HKL488" s="97"/>
      <c r="HKN488" s="94"/>
      <c r="HKO488" s="94"/>
      <c r="HKP488" s="95"/>
      <c r="HKQ488" s="96"/>
      <c r="HKR488" s="97"/>
      <c r="HKS488" s="97"/>
      <c r="HKT488" s="97"/>
      <c r="HKU488" s="97"/>
      <c r="HKV488" s="97"/>
      <c r="HKW488" s="97"/>
      <c r="HKX488" s="97"/>
      <c r="HKY488" s="97"/>
      <c r="HLA488" s="94"/>
      <c r="HLB488" s="94"/>
      <c r="HLC488" s="95"/>
      <c r="HLD488" s="96"/>
      <c r="HLE488" s="97"/>
      <c r="HLF488" s="97"/>
      <c r="HLG488" s="97"/>
      <c r="HLH488" s="97"/>
      <c r="HLI488" s="97"/>
      <c r="HLJ488" s="97"/>
      <c r="HLK488" s="97"/>
      <c r="HLL488" s="97"/>
      <c r="HLN488" s="94"/>
      <c r="HLO488" s="94"/>
      <c r="HLP488" s="95"/>
      <c r="HLQ488" s="96"/>
      <c r="HLR488" s="97"/>
      <c r="HLS488" s="97"/>
      <c r="HLT488" s="97"/>
      <c r="HLU488" s="97"/>
      <c r="HLV488" s="97"/>
      <c r="HLW488" s="97"/>
      <c r="HLX488" s="97"/>
      <c r="HLY488" s="97"/>
      <c r="HMA488" s="94"/>
      <c r="HMB488" s="94"/>
      <c r="HMC488" s="95"/>
      <c r="HMD488" s="96"/>
      <c r="HME488" s="97"/>
      <c r="HMF488" s="97"/>
      <c r="HMG488" s="97"/>
      <c r="HMH488" s="97"/>
      <c r="HMI488" s="97"/>
      <c r="HMJ488" s="97"/>
      <c r="HMK488" s="97"/>
      <c r="HML488" s="97"/>
      <c r="HMN488" s="94"/>
      <c r="HMO488" s="94"/>
      <c r="HMP488" s="95"/>
      <c r="HMQ488" s="96"/>
      <c r="HMR488" s="97"/>
      <c r="HMS488" s="97"/>
      <c r="HMT488" s="97"/>
      <c r="HMU488" s="97"/>
      <c r="HMV488" s="97"/>
      <c r="HMW488" s="97"/>
      <c r="HMX488" s="97"/>
      <c r="HMY488" s="97"/>
      <c r="HNA488" s="94"/>
      <c r="HNB488" s="94"/>
      <c r="HNC488" s="95"/>
      <c r="HND488" s="96"/>
      <c r="HNE488" s="97"/>
      <c r="HNF488" s="97"/>
      <c r="HNG488" s="97"/>
      <c r="HNH488" s="97"/>
      <c r="HNI488" s="97"/>
      <c r="HNJ488" s="97"/>
      <c r="HNK488" s="97"/>
      <c r="HNL488" s="97"/>
      <c r="HNN488" s="94"/>
      <c r="HNO488" s="94"/>
      <c r="HNP488" s="95"/>
      <c r="HNQ488" s="96"/>
      <c r="HNR488" s="97"/>
      <c r="HNS488" s="97"/>
      <c r="HNT488" s="97"/>
      <c r="HNU488" s="97"/>
      <c r="HNV488" s="97"/>
      <c r="HNW488" s="97"/>
      <c r="HNX488" s="97"/>
      <c r="HNY488" s="97"/>
      <c r="HOA488" s="94"/>
      <c r="HOB488" s="94"/>
      <c r="HOC488" s="95"/>
      <c r="HOD488" s="96"/>
      <c r="HOE488" s="97"/>
      <c r="HOF488" s="97"/>
      <c r="HOG488" s="97"/>
      <c r="HOH488" s="97"/>
      <c r="HOI488" s="97"/>
      <c r="HOJ488" s="97"/>
      <c r="HOK488" s="97"/>
      <c r="HOL488" s="97"/>
      <c r="HON488" s="94"/>
      <c r="HOO488" s="94"/>
      <c r="HOP488" s="95"/>
      <c r="HOQ488" s="96"/>
      <c r="HOR488" s="97"/>
      <c r="HOS488" s="97"/>
      <c r="HOT488" s="97"/>
      <c r="HOU488" s="97"/>
      <c r="HOV488" s="97"/>
      <c r="HOW488" s="97"/>
      <c r="HOX488" s="97"/>
      <c r="HOY488" s="97"/>
      <c r="HPA488" s="94"/>
      <c r="HPB488" s="94"/>
      <c r="HPC488" s="95"/>
      <c r="HPD488" s="96"/>
      <c r="HPE488" s="97"/>
      <c r="HPF488" s="97"/>
      <c r="HPG488" s="97"/>
      <c r="HPH488" s="97"/>
      <c r="HPI488" s="97"/>
      <c r="HPJ488" s="97"/>
      <c r="HPK488" s="97"/>
      <c r="HPL488" s="97"/>
      <c r="HPN488" s="94"/>
      <c r="HPO488" s="94"/>
      <c r="HPP488" s="95"/>
      <c r="HPQ488" s="96"/>
      <c r="HPR488" s="97"/>
      <c r="HPS488" s="97"/>
      <c r="HPT488" s="97"/>
      <c r="HPU488" s="97"/>
      <c r="HPV488" s="97"/>
      <c r="HPW488" s="97"/>
      <c r="HPX488" s="97"/>
      <c r="HPY488" s="97"/>
      <c r="HQA488" s="94"/>
      <c r="HQB488" s="94"/>
      <c r="HQC488" s="95"/>
      <c r="HQD488" s="96"/>
      <c r="HQE488" s="97"/>
      <c r="HQF488" s="97"/>
      <c r="HQG488" s="97"/>
      <c r="HQH488" s="97"/>
      <c r="HQI488" s="97"/>
      <c r="HQJ488" s="97"/>
      <c r="HQK488" s="97"/>
      <c r="HQL488" s="97"/>
      <c r="HQN488" s="94"/>
      <c r="HQO488" s="94"/>
      <c r="HQP488" s="95"/>
      <c r="HQQ488" s="96"/>
      <c r="HQR488" s="97"/>
      <c r="HQS488" s="97"/>
      <c r="HQT488" s="97"/>
      <c r="HQU488" s="97"/>
      <c r="HQV488" s="97"/>
      <c r="HQW488" s="97"/>
      <c r="HQX488" s="97"/>
      <c r="HQY488" s="97"/>
      <c r="HRA488" s="94"/>
      <c r="HRB488" s="94"/>
      <c r="HRC488" s="95"/>
      <c r="HRD488" s="96"/>
      <c r="HRE488" s="97"/>
      <c r="HRF488" s="97"/>
      <c r="HRG488" s="97"/>
      <c r="HRH488" s="97"/>
      <c r="HRI488" s="97"/>
      <c r="HRJ488" s="97"/>
      <c r="HRK488" s="97"/>
      <c r="HRL488" s="97"/>
      <c r="HRN488" s="94"/>
      <c r="HRO488" s="94"/>
      <c r="HRP488" s="95"/>
      <c r="HRQ488" s="96"/>
      <c r="HRR488" s="97"/>
      <c r="HRS488" s="97"/>
      <c r="HRT488" s="97"/>
      <c r="HRU488" s="97"/>
      <c r="HRV488" s="97"/>
      <c r="HRW488" s="97"/>
      <c r="HRX488" s="97"/>
      <c r="HRY488" s="97"/>
      <c r="HSA488" s="94"/>
      <c r="HSB488" s="94"/>
      <c r="HSC488" s="95"/>
      <c r="HSD488" s="96"/>
      <c r="HSE488" s="97"/>
      <c r="HSF488" s="97"/>
      <c r="HSG488" s="97"/>
      <c r="HSH488" s="97"/>
      <c r="HSI488" s="97"/>
      <c r="HSJ488" s="97"/>
      <c r="HSK488" s="97"/>
      <c r="HSL488" s="97"/>
      <c r="HSN488" s="94"/>
      <c r="HSO488" s="94"/>
      <c r="HSP488" s="95"/>
      <c r="HSQ488" s="96"/>
      <c r="HSR488" s="97"/>
      <c r="HSS488" s="97"/>
      <c r="HST488" s="97"/>
      <c r="HSU488" s="97"/>
      <c r="HSV488" s="97"/>
      <c r="HSW488" s="97"/>
      <c r="HSX488" s="97"/>
      <c r="HSY488" s="97"/>
      <c r="HTA488" s="94"/>
      <c r="HTB488" s="94"/>
      <c r="HTC488" s="95"/>
      <c r="HTD488" s="96"/>
      <c r="HTE488" s="97"/>
      <c r="HTF488" s="97"/>
      <c r="HTG488" s="97"/>
      <c r="HTH488" s="97"/>
      <c r="HTI488" s="97"/>
      <c r="HTJ488" s="97"/>
      <c r="HTK488" s="97"/>
      <c r="HTL488" s="97"/>
      <c r="HTN488" s="94"/>
      <c r="HTO488" s="94"/>
      <c r="HTP488" s="95"/>
      <c r="HTQ488" s="96"/>
      <c r="HTR488" s="97"/>
      <c r="HTS488" s="97"/>
      <c r="HTT488" s="97"/>
      <c r="HTU488" s="97"/>
      <c r="HTV488" s="97"/>
      <c r="HTW488" s="97"/>
      <c r="HTX488" s="97"/>
      <c r="HTY488" s="97"/>
      <c r="HUA488" s="94"/>
      <c r="HUB488" s="94"/>
      <c r="HUC488" s="95"/>
      <c r="HUD488" s="96"/>
      <c r="HUE488" s="97"/>
      <c r="HUF488" s="97"/>
      <c r="HUG488" s="97"/>
      <c r="HUH488" s="97"/>
      <c r="HUI488" s="97"/>
      <c r="HUJ488" s="97"/>
      <c r="HUK488" s="97"/>
      <c r="HUL488" s="97"/>
      <c r="HUN488" s="94"/>
      <c r="HUO488" s="94"/>
      <c r="HUP488" s="95"/>
      <c r="HUQ488" s="96"/>
      <c r="HUR488" s="97"/>
      <c r="HUS488" s="97"/>
      <c r="HUT488" s="97"/>
      <c r="HUU488" s="97"/>
      <c r="HUV488" s="97"/>
      <c r="HUW488" s="97"/>
      <c r="HUX488" s="97"/>
      <c r="HUY488" s="97"/>
      <c r="HVA488" s="94"/>
      <c r="HVB488" s="94"/>
      <c r="HVC488" s="95"/>
      <c r="HVD488" s="96"/>
      <c r="HVE488" s="97"/>
      <c r="HVF488" s="97"/>
      <c r="HVG488" s="97"/>
      <c r="HVH488" s="97"/>
      <c r="HVI488" s="97"/>
      <c r="HVJ488" s="97"/>
      <c r="HVK488" s="97"/>
      <c r="HVL488" s="97"/>
      <c r="HVN488" s="94"/>
      <c r="HVO488" s="94"/>
      <c r="HVP488" s="95"/>
      <c r="HVQ488" s="96"/>
      <c r="HVR488" s="97"/>
      <c r="HVS488" s="97"/>
      <c r="HVT488" s="97"/>
      <c r="HVU488" s="97"/>
      <c r="HVV488" s="97"/>
      <c r="HVW488" s="97"/>
      <c r="HVX488" s="97"/>
      <c r="HVY488" s="97"/>
      <c r="HWA488" s="94"/>
      <c r="HWB488" s="94"/>
      <c r="HWC488" s="95"/>
      <c r="HWD488" s="96"/>
      <c r="HWE488" s="97"/>
      <c r="HWF488" s="97"/>
      <c r="HWG488" s="97"/>
      <c r="HWH488" s="97"/>
      <c r="HWI488" s="97"/>
      <c r="HWJ488" s="97"/>
      <c r="HWK488" s="97"/>
      <c r="HWL488" s="97"/>
      <c r="HWN488" s="94"/>
      <c r="HWO488" s="94"/>
      <c r="HWP488" s="95"/>
      <c r="HWQ488" s="96"/>
      <c r="HWR488" s="97"/>
      <c r="HWS488" s="97"/>
      <c r="HWT488" s="97"/>
      <c r="HWU488" s="97"/>
      <c r="HWV488" s="97"/>
      <c r="HWW488" s="97"/>
      <c r="HWX488" s="97"/>
      <c r="HWY488" s="97"/>
      <c r="HXA488" s="94"/>
      <c r="HXB488" s="94"/>
      <c r="HXC488" s="95"/>
      <c r="HXD488" s="96"/>
      <c r="HXE488" s="97"/>
      <c r="HXF488" s="97"/>
      <c r="HXG488" s="97"/>
      <c r="HXH488" s="97"/>
      <c r="HXI488" s="97"/>
      <c r="HXJ488" s="97"/>
      <c r="HXK488" s="97"/>
      <c r="HXL488" s="97"/>
      <c r="HXN488" s="94"/>
      <c r="HXO488" s="94"/>
      <c r="HXP488" s="95"/>
      <c r="HXQ488" s="96"/>
      <c r="HXR488" s="97"/>
      <c r="HXS488" s="97"/>
      <c r="HXT488" s="97"/>
      <c r="HXU488" s="97"/>
      <c r="HXV488" s="97"/>
      <c r="HXW488" s="97"/>
      <c r="HXX488" s="97"/>
      <c r="HXY488" s="97"/>
      <c r="HYA488" s="94"/>
      <c r="HYB488" s="94"/>
      <c r="HYC488" s="95"/>
      <c r="HYD488" s="96"/>
      <c r="HYE488" s="97"/>
      <c r="HYF488" s="97"/>
      <c r="HYG488" s="97"/>
      <c r="HYH488" s="97"/>
      <c r="HYI488" s="97"/>
      <c r="HYJ488" s="97"/>
      <c r="HYK488" s="97"/>
      <c r="HYL488" s="97"/>
      <c r="HYN488" s="94"/>
      <c r="HYO488" s="94"/>
      <c r="HYP488" s="95"/>
      <c r="HYQ488" s="96"/>
      <c r="HYR488" s="97"/>
      <c r="HYS488" s="97"/>
      <c r="HYT488" s="97"/>
      <c r="HYU488" s="97"/>
      <c r="HYV488" s="97"/>
      <c r="HYW488" s="97"/>
      <c r="HYX488" s="97"/>
      <c r="HYY488" s="97"/>
      <c r="HZA488" s="94"/>
      <c r="HZB488" s="94"/>
      <c r="HZC488" s="95"/>
      <c r="HZD488" s="96"/>
      <c r="HZE488" s="97"/>
      <c r="HZF488" s="97"/>
      <c r="HZG488" s="97"/>
      <c r="HZH488" s="97"/>
      <c r="HZI488" s="97"/>
      <c r="HZJ488" s="97"/>
      <c r="HZK488" s="97"/>
      <c r="HZL488" s="97"/>
      <c r="HZN488" s="94"/>
      <c r="HZO488" s="94"/>
      <c r="HZP488" s="95"/>
      <c r="HZQ488" s="96"/>
      <c r="HZR488" s="97"/>
      <c r="HZS488" s="97"/>
      <c r="HZT488" s="97"/>
      <c r="HZU488" s="97"/>
      <c r="HZV488" s="97"/>
      <c r="HZW488" s="97"/>
      <c r="HZX488" s="97"/>
      <c r="HZY488" s="97"/>
      <c r="IAA488" s="94"/>
      <c r="IAB488" s="94"/>
      <c r="IAC488" s="95"/>
      <c r="IAD488" s="96"/>
      <c r="IAE488" s="97"/>
      <c r="IAF488" s="97"/>
      <c r="IAG488" s="97"/>
      <c r="IAH488" s="97"/>
      <c r="IAI488" s="97"/>
      <c r="IAJ488" s="97"/>
      <c r="IAK488" s="97"/>
      <c r="IAL488" s="97"/>
      <c r="IAN488" s="94"/>
      <c r="IAO488" s="94"/>
      <c r="IAP488" s="95"/>
      <c r="IAQ488" s="96"/>
      <c r="IAR488" s="97"/>
      <c r="IAS488" s="97"/>
      <c r="IAT488" s="97"/>
      <c r="IAU488" s="97"/>
      <c r="IAV488" s="97"/>
      <c r="IAW488" s="97"/>
      <c r="IAX488" s="97"/>
      <c r="IAY488" s="97"/>
      <c r="IBA488" s="94"/>
      <c r="IBB488" s="94"/>
      <c r="IBC488" s="95"/>
      <c r="IBD488" s="96"/>
      <c r="IBE488" s="97"/>
      <c r="IBF488" s="97"/>
      <c r="IBG488" s="97"/>
      <c r="IBH488" s="97"/>
      <c r="IBI488" s="97"/>
      <c r="IBJ488" s="97"/>
      <c r="IBK488" s="97"/>
      <c r="IBL488" s="97"/>
      <c r="IBN488" s="94"/>
      <c r="IBO488" s="94"/>
      <c r="IBP488" s="95"/>
      <c r="IBQ488" s="96"/>
      <c r="IBR488" s="97"/>
      <c r="IBS488" s="97"/>
      <c r="IBT488" s="97"/>
      <c r="IBU488" s="97"/>
      <c r="IBV488" s="97"/>
      <c r="IBW488" s="97"/>
      <c r="IBX488" s="97"/>
      <c r="IBY488" s="97"/>
      <c r="ICA488" s="94"/>
      <c r="ICB488" s="94"/>
      <c r="ICC488" s="95"/>
      <c r="ICD488" s="96"/>
      <c r="ICE488" s="97"/>
      <c r="ICF488" s="97"/>
      <c r="ICG488" s="97"/>
      <c r="ICH488" s="97"/>
      <c r="ICI488" s="97"/>
      <c r="ICJ488" s="97"/>
      <c r="ICK488" s="97"/>
      <c r="ICL488" s="97"/>
      <c r="ICN488" s="94"/>
      <c r="ICO488" s="94"/>
      <c r="ICP488" s="95"/>
      <c r="ICQ488" s="96"/>
      <c r="ICR488" s="97"/>
      <c r="ICS488" s="97"/>
      <c r="ICT488" s="97"/>
      <c r="ICU488" s="97"/>
      <c r="ICV488" s="97"/>
      <c r="ICW488" s="97"/>
      <c r="ICX488" s="97"/>
      <c r="ICY488" s="97"/>
      <c r="IDA488" s="94"/>
      <c r="IDB488" s="94"/>
      <c r="IDC488" s="95"/>
      <c r="IDD488" s="96"/>
      <c r="IDE488" s="97"/>
      <c r="IDF488" s="97"/>
      <c r="IDG488" s="97"/>
      <c r="IDH488" s="97"/>
      <c r="IDI488" s="97"/>
      <c r="IDJ488" s="97"/>
      <c r="IDK488" s="97"/>
      <c r="IDL488" s="97"/>
      <c r="IDN488" s="94"/>
      <c r="IDO488" s="94"/>
      <c r="IDP488" s="95"/>
      <c r="IDQ488" s="96"/>
      <c r="IDR488" s="97"/>
      <c r="IDS488" s="97"/>
      <c r="IDT488" s="97"/>
      <c r="IDU488" s="97"/>
      <c r="IDV488" s="97"/>
      <c r="IDW488" s="97"/>
      <c r="IDX488" s="97"/>
      <c r="IDY488" s="97"/>
      <c r="IEA488" s="94"/>
      <c r="IEB488" s="94"/>
      <c r="IEC488" s="95"/>
      <c r="IED488" s="96"/>
      <c r="IEE488" s="97"/>
      <c r="IEF488" s="97"/>
      <c r="IEG488" s="97"/>
      <c r="IEH488" s="97"/>
      <c r="IEI488" s="97"/>
      <c r="IEJ488" s="97"/>
      <c r="IEK488" s="97"/>
      <c r="IEL488" s="97"/>
      <c r="IEN488" s="94"/>
      <c r="IEO488" s="94"/>
      <c r="IEP488" s="95"/>
      <c r="IEQ488" s="96"/>
      <c r="IER488" s="97"/>
      <c r="IES488" s="97"/>
      <c r="IET488" s="97"/>
      <c r="IEU488" s="97"/>
      <c r="IEV488" s="97"/>
      <c r="IEW488" s="97"/>
      <c r="IEX488" s="97"/>
      <c r="IEY488" s="97"/>
      <c r="IFA488" s="94"/>
      <c r="IFB488" s="94"/>
      <c r="IFC488" s="95"/>
      <c r="IFD488" s="96"/>
      <c r="IFE488" s="97"/>
      <c r="IFF488" s="97"/>
      <c r="IFG488" s="97"/>
      <c r="IFH488" s="97"/>
      <c r="IFI488" s="97"/>
      <c r="IFJ488" s="97"/>
      <c r="IFK488" s="97"/>
      <c r="IFL488" s="97"/>
      <c r="IFN488" s="94"/>
      <c r="IFO488" s="94"/>
      <c r="IFP488" s="95"/>
      <c r="IFQ488" s="96"/>
      <c r="IFR488" s="97"/>
      <c r="IFS488" s="97"/>
      <c r="IFT488" s="97"/>
      <c r="IFU488" s="97"/>
      <c r="IFV488" s="97"/>
      <c r="IFW488" s="97"/>
      <c r="IFX488" s="97"/>
      <c r="IFY488" s="97"/>
      <c r="IGA488" s="94"/>
      <c r="IGB488" s="94"/>
      <c r="IGC488" s="95"/>
      <c r="IGD488" s="96"/>
      <c r="IGE488" s="97"/>
      <c r="IGF488" s="97"/>
      <c r="IGG488" s="97"/>
      <c r="IGH488" s="97"/>
      <c r="IGI488" s="97"/>
      <c r="IGJ488" s="97"/>
      <c r="IGK488" s="97"/>
      <c r="IGL488" s="97"/>
      <c r="IGN488" s="94"/>
      <c r="IGO488" s="94"/>
      <c r="IGP488" s="95"/>
      <c r="IGQ488" s="96"/>
      <c r="IGR488" s="97"/>
      <c r="IGS488" s="97"/>
      <c r="IGT488" s="97"/>
      <c r="IGU488" s="97"/>
      <c r="IGV488" s="97"/>
      <c r="IGW488" s="97"/>
      <c r="IGX488" s="97"/>
      <c r="IGY488" s="97"/>
      <c r="IHA488" s="94"/>
      <c r="IHB488" s="94"/>
      <c r="IHC488" s="95"/>
      <c r="IHD488" s="96"/>
      <c r="IHE488" s="97"/>
      <c r="IHF488" s="97"/>
      <c r="IHG488" s="97"/>
      <c r="IHH488" s="97"/>
      <c r="IHI488" s="97"/>
      <c r="IHJ488" s="97"/>
      <c r="IHK488" s="97"/>
      <c r="IHL488" s="97"/>
      <c r="IHN488" s="94"/>
      <c r="IHO488" s="94"/>
      <c r="IHP488" s="95"/>
      <c r="IHQ488" s="96"/>
      <c r="IHR488" s="97"/>
      <c r="IHS488" s="97"/>
      <c r="IHT488" s="97"/>
      <c r="IHU488" s="97"/>
      <c r="IHV488" s="97"/>
      <c r="IHW488" s="97"/>
      <c r="IHX488" s="97"/>
      <c r="IHY488" s="97"/>
      <c r="IIA488" s="94"/>
      <c r="IIB488" s="94"/>
      <c r="IIC488" s="95"/>
      <c r="IID488" s="96"/>
      <c r="IIE488" s="97"/>
      <c r="IIF488" s="97"/>
      <c r="IIG488" s="97"/>
      <c r="IIH488" s="97"/>
      <c r="III488" s="97"/>
      <c r="IIJ488" s="97"/>
      <c r="IIK488" s="97"/>
      <c r="IIL488" s="97"/>
      <c r="IIN488" s="94"/>
      <c r="IIO488" s="94"/>
      <c r="IIP488" s="95"/>
      <c r="IIQ488" s="96"/>
      <c r="IIR488" s="97"/>
      <c r="IIS488" s="97"/>
      <c r="IIT488" s="97"/>
      <c r="IIU488" s="97"/>
      <c r="IIV488" s="97"/>
      <c r="IIW488" s="97"/>
      <c r="IIX488" s="97"/>
      <c r="IIY488" s="97"/>
      <c r="IJA488" s="94"/>
      <c r="IJB488" s="94"/>
      <c r="IJC488" s="95"/>
      <c r="IJD488" s="96"/>
      <c r="IJE488" s="97"/>
      <c r="IJF488" s="97"/>
      <c r="IJG488" s="97"/>
      <c r="IJH488" s="97"/>
      <c r="IJI488" s="97"/>
      <c r="IJJ488" s="97"/>
      <c r="IJK488" s="97"/>
      <c r="IJL488" s="97"/>
      <c r="IJN488" s="94"/>
      <c r="IJO488" s="94"/>
      <c r="IJP488" s="95"/>
      <c r="IJQ488" s="96"/>
      <c r="IJR488" s="97"/>
      <c r="IJS488" s="97"/>
      <c r="IJT488" s="97"/>
      <c r="IJU488" s="97"/>
      <c r="IJV488" s="97"/>
      <c r="IJW488" s="97"/>
      <c r="IJX488" s="97"/>
      <c r="IJY488" s="97"/>
      <c r="IKA488" s="94"/>
      <c r="IKB488" s="94"/>
      <c r="IKC488" s="95"/>
      <c r="IKD488" s="96"/>
      <c r="IKE488" s="97"/>
      <c r="IKF488" s="97"/>
      <c r="IKG488" s="97"/>
      <c r="IKH488" s="97"/>
      <c r="IKI488" s="97"/>
      <c r="IKJ488" s="97"/>
      <c r="IKK488" s="97"/>
      <c r="IKL488" s="97"/>
      <c r="IKN488" s="94"/>
      <c r="IKO488" s="94"/>
      <c r="IKP488" s="95"/>
      <c r="IKQ488" s="96"/>
      <c r="IKR488" s="97"/>
      <c r="IKS488" s="97"/>
      <c r="IKT488" s="97"/>
      <c r="IKU488" s="97"/>
      <c r="IKV488" s="97"/>
      <c r="IKW488" s="97"/>
      <c r="IKX488" s="97"/>
      <c r="IKY488" s="97"/>
      <c r="ILA488" s="94"/>
      <c r="ILB488" s="94"/>
      <c r="ILC488" s="95"/>
      <c r="ILD488" s="96"/>
      <c r="ILE488" s="97"/>
      <c r="ILF488" s="97"/>
      <c r="ILG488" s="97"/>
      <c r="ILH488" s="97"/>
      <c r="ILI488" s="97"/>
      <c r="ILJ488" s="97"/>
      <c r="ILK488" s="97"/>
      <c r="ILL488" s="97"/>
      <c r="ILN488" s="94"/>
      <c r="ILO488" s="94"/>
      <c r="ILP488" s="95"/>
      <c r="ILQ488" s="96"/>
      <c r="ILR488" s="97"/>
      <c r="ILS488" s="97"/>
      <c r="ILT488" s="97"/>
      <c r="ILU488" s="97"/>
      <c r="ILV488" s="97"/>
      <c r="ILW488" s="97"/>
      <c r="ILX488" s="97"/>
      <c r="ILY488" s="97"/>
      <c r="IMA488" s="94"/>
      <c r="IMB488" s="94"/>
      <c r="IMC488" s="95"/>
      <c r="IMD488" s="96"/>
      <c r="IME488" s="97"/>
      <c r="IMF488" s="97"/>
      <c r="IMG488" s="97"/>
      <c r="IMH488" s="97"/>
      <c r="IMI488" s="97"/>
      <c r="IMJ488" s="97"/>
      <c r="IMK488" s="97"/>
      <c r="IML488" s="97"/>
      <c r="IMN488" s="94"/>
      <c r="IMO488" s="94"/>
      <c r="IMP488" s="95"/>
      <c r="IMQ488" s="96"/>
      <c r="IMR488" s="97"/>
      <c r="IMS488" s="97"/>
      <c r="IMT488" s="97"/>
      <c r="IMU488" s="97"/>
      <c r="IMV488" s="97"/>
      <c r="IMW488" s="97"/>
      <c r="IMX488" s="97"/>
      <c r="IMY488" s="97"/>
      <c r="INA488" s="94"/>
      <c r="INB488" s="94"/>
      <c r="INC488" s="95"/>
      <c r="IND488" s="96"/>
      <c r="INE488" s="97"/>
      <c r="INF488" s="97"/>
      <c r="ING488" s="97"/>
      <c r="INH488" s="97"/>
      <c r="INI488" s="97"/>
      <c r="INJ488" s="97"/>
      <c r="INK488" s="97"/>
      <c r="INL488" s="97"/>
      <c r="INN488" s="94"/>
      <c r="INO488" s="94"/>
      <c r="INP488" s="95"/>
      <c r="INQ488" s="96"/>
      <c r="INR488" s="97"/>
      <c r="INS488" s="97"/>
      <c r="INT488" s="97"/>
      <c r="INU488" s="97"/>
      <c r="INV488" s="97"/>
      <c r="INW488" s="97"/>
      <c r="INX488" s="97"/>
      <c r="INY488" s="97"/>
      <c r="IOA488" s="94"/>
      <c r="IOB488" s="94"/>
      <c r="IOC488" s="95"/>
      <c r="IOD488" s="96"/>
      <c r="IOE488" s="97"/>
      <c r="IOF488" s="97"/>
      <c r="IOG488" s="97"/>
      <c r="IOH488" s="97"/>
      <c r="IOI488" s="97"/>
      <c r="IOJ488" s="97"/>
      <c r="IOK488" s="97"/>
      <c r="IOL488" s="97"/>
      <c r="ION488" s="94"/>
      <c r="IOO488" s="94"/>
      <c r="IOP488" s="95"/>
      <c r="IOQ488" s="96"/>
      <c r="IOR488" s="97"/>
      <c r="IOS488" s="97"/>
      <c r="IOT488" s="97"/>
      <c r="IOU488" s="97"/>
      <c r="IOV488" s="97"/>
      <c r="IOW488" s="97"/>
      <c r="IOX488" s="97"/>
      <c r="IOY488" s="97"/>
      <c r="IPA488" s="94"/>
      <c r="IPB488" s="94"/>
      <c r="IPC488" s="95"/>
      <c r="IPD488" s="96"/>
      <c r="IPE488" s="97"/>
      <c r="IPF488" s="97"/>
      <c r="IPG488" s="97"/>
      <c r="IPH488" s="97"/>
      <c r="IPI488" s="97"/>
      <c r="IPJ488" s="97"/>
      <c r="IPK488" s="97"/>
      <c r="IPL488" s="97"/>
      <c r="IPN488" s="94"/>
      <c r="IPO488" s="94"/>
      <c r="IPP488" s="95"/>
      <c r="IPQ488" s="96"/>
      <c r="IPR488" s="97"/>
      <c r="IPS488" s="97"/>
      <c r="IPT488" s="97"/>
      <c r="IPU488" s="97"/>
      <c r="IPV488" s="97"/>
      <c r="IPW488" s="97"/>
      <c r="IPX488" s="97"/>
      <c r="IPY488" s="97"/>
      <c r="IQA488" s="94"/>
      <c r="IQB488" s="94"/>
      <c r="IQC488" s="95"/>
      <c r="IQD488" s="96"/>
      <c r="IQE488" s="97"/>
      <c r="IQF488" s="97"/>
      <c r="IQG488" s="97"/>
      <c r="IQH488" s="97"/>
      <c r="IQI488" s="97"/>
      <c r="IQJ488" s="97"/>
      <c r="IQK488" s="97"/>
      <c r="IQL488" s="97"/>
      <c r="IQN488" s="94"/>
      <c r="IQO488" s="94"/>
      <c r="IQP488" s="95"/>
      <c r="IQQ488" s="96"/>
      <c r="IQR488" s="97"/>
      <c r="IQS488" s="97"/>
      <c r="IQT488" s="97"/>
      <c r="IQU488" s="97"/>
      <c r="IQV488" s="97"/>
      <c r="IQW488" s="97"/>
      <c r="IQX488" s="97"/>
      <c r="IQY488" s="97"/>
      <c r="IRA488" s="94"/>
      <c r="IRB488" s="94"/>
      <c r="IRC488" s="95"/>
      <c r="IRD488" s="96"/>
      <c r="IRE488" s="97"/>
      <c r="IRF488" s="97"/>
      <c r="IRG488" s="97"/>
      <c r="IRH488" s="97"/>
      <c r="IRI488" s="97"/>
      <c r="IRJ488" s="97"/>
      <c r="IRK488" s="97"/>
      <c r="IRL488" s="97"/>
      <c r="IRN488" s="94"/>
      <c r="IRO488" s="94"/>
      <c r="IRP488" s="95"/>
      <c r="IRQ488" s="96"/>
      <c r="IRR488" s="97"/>
      <c r="IRS488" s="97"/>
      <c r="IRT488" s="97"/>
      <c r="IRU488" s="97"/>
      <c r="IRV488" s="97"/>
      <c r="IRW488" s="97"/>
      <c r="IRX488" s="97"/>
      <c r="IRY488" s="97"/>
      <c r="ISA488" s="94"/>
      <c r="ISB488" s="94"/>
      <c r="ISC488" s="95"/>
      <c r="ISD488" s="96"/>
      <c r="ISE488" s="97"/>
      <c r="ISF488" s="97"/>
      <c r="ISG488" s="97"/>
      <c r="ISH488" s="97"/>
      <c r="ISI488" s="97"/>
      <c r="ISJ488" s="97"/>
      <c r="ISK488" s="97"/>
      <c r="ISL488" s="97"/>
      <c r="ISN488" s="94"/>
      <c r="ISO488" s="94"/>
      <c r="ISP488" s="95"/>
      <c r="ISQ488" s="96"/>
      <c r="ISR488" s="97"/>
      <c r="ISS488" s="97"/>
      <c r="IST488" s="97"/>
      <c r="ISU488" s="97"/>
      <c r="ISV488" s="97"/>
      <c r="ISW488" s="97"/>
      <c r="ISX488" s="97"/>
      <c r="ISY488" s="97"/>
      <c r="ITA488" s="94"/>
      <c r="ITB488" s="94"/>
      <c r="ITC488" s="95"/>
      <c r="ITD488" s="96"/>
      <c r="ITE488" s="97"/>
      <c r="ITF488" s="97"/>
      <c r="ITG488" s="97"/>
      <c r="ITH488" s="97"/>
      <c r="ITI488" s="97"/>
      <c r="ITJ488" s="97"/>
      <c r="ITK488" s="97"/>
      <c r="ITL488" s="97"/>
      <c r="ITN488" s="94"/>
      <c r="ITO488" s="94"/>
      <c r="ITP488" s="95"/>
      <c r="ITQ488" s="96"/>
      <c r="ITR488" s="97"/>
      <c r="ITS488" s="97"/>
      <c r="ITT488" s="97"/>
      <c r="ITU488" s="97"/>
      <c r="ITV488" s="97"/>
      <c r="ITW488" s="97"/>
      <c r="ITX488" s="97"/>
      <c r="ITY488" s="97"/>
      <c r="IUA488" s="94"/>
      <c r="IUB488" s="94"/>
      <c r="IUC488" s="95"/>
      <c r="IUD488" s="96"/>
      <c r="IUE488" s="97"/>
      <c r="IUF488" s="97"/>
      <c r="IUG488" s="97"/>
      <c r="IUH488" s="97"/>
      <c r="IUI488" s="97"/>
      <c r="IUJ488" s="97"/>
      <c r="IUK488" s="97"/>
      <c r="IUL488" s="97"/>
      <c r="IUN488" s="94"/>
      <c r="IUO488" s="94"/>
      <c r="IUP488" s="95"/>
      <c r="IUQ488" s="96"/>
      <c r="IUR488" s="97"/>
      <c r="IUS488" s="97"/>
      <c r="IUT488" s="97"/>
      <c r="IUU488" s="97"/>
      <c r="IUV488" s="97"/>
      <c r="IUW488" s="97"/>
      <c r="IUX488" s="97"/>
      <c r="IUY488" s="97"/>
      <c r="IVA488" s="94"/>
      <c r="IVB488" s="94"/>
      <c r="IVC488" s="95"/>
      <c r="IVD488" s="96"/>
      <c r="IVE488" s="97"/>
      <c r="IVF488" s="97"/>
      <c r="IVG488" s="97"/>
      <c r="IVH488" s="97"/>
      <c r="IVI488" s="97"/>
      <c r="IVJ488" s="97"/>
      <c r="IVK488" s="97"/>
      <c r="IVL488" s="97"/>
      <c r="IVN488" s="94"/>
      <c r="IVO488" s="94"/>
      <c r="IVP488" s="95"/>
      <c r="IVQ488" s="96"/>
      <c r="IVR488" s="97"/>
      <c r="IVS488" s="97"/>
      <c r="IVT488" s="97"/>
      <c r="IVU488" s="97"/>
      <c r="IVV488" s="97"/>
      <c r="IVW488" s="97"/>
      <c r="IVX488" s="97"/>
      <c r="IVY488" s="97"/>
      <c r="IWA488" s="94"/>
      <c r="IWB488" s="94"/>
      <c r="IWC488" s="95"/>
      <c r="IWD488" s="96"/>
      <c r="IWE488" s="97"/>
      <c r="IWF488" s="97"/>
      <c r="IWG488" s="97"/>
      <c r="IWH488" s="97"/>
      <c r="IWI488" s="97"/>
      <c r="IWJ488" s="97"/>
      <c r="IWK488" s="97"/>
      <c r="IWL488" s="97"/>
      <c r="IWN488" s="94"/>
      <c r="IWO488" s="94"/>
      <c r="IWP488" s="95"/>
      <c r="IWQ488" s="96"/>
      <c r="IWR488" s="97"/>
      <c r="IWS488" s="97"/>
      <c r="IWT488" s="97"/>
      <c r="IWU488" s="97"/>
      <c r="IWV488" s="97"/>
      <c r="IWW488" s="97"/>
      <c r="IWX488" s="97"/>
      <c r="IWY488" s="97"/>
      <c r="IXA488" s="94"/>
      <c r="IXB488" s="94"/>
      <c r="IXC488" s="95"/>
      <c r="IXD488" s="96"/>
      <c r="IXE488" s="97"/>
      <c r="IXF488" s="97"/>
      <c r="IXG488" s="97"/>
      <c r="IXH488" s="97"/>
      <c r="IXI488" s="97"/>
      <c r="IXJ488" s="97"/>
      <c r="IXK488" s="97"/>
      <c r="IXL488" s="97"/>
      <c r="IXN488" s="94"/>
      <c r="IXO488" s="94"/>
      <c r="IXP488" s="95"/>
      <c r="IXQ488" s="96"/>
      <c r="IXR488" s="97"/>
      <c r="IXS488" s="97"/>
      <c r="IXT488" s="97"/>
      <c r="IXU488" s="97"/>
      <c r="IXV488" s="97"/>
      <c r="IXW488" s="97"/>
      <c r="IXX488" s="97"/>
      <c r="IXY488" s="97"/>
      <c r="IYA488" s="94"/>
      <c r="IYB488" s="94"/>
      <c r="IYC488" s="95"/>
      <c r="IYD488" s="96"/>
      <c r="IYE488" s="97"/>
      <c r="IYF488" s="97"/>
      <c r="IYG488" s="97"/>
      <c r="IYH488" s="97"/>
      <c r="IYI488" s="97"/>
      <c r="IYJ488" s="97"/>
      <c r="IYK488" s="97"/>
      <c r="IYL488" s="97"/>
      <c r="IYN488" s="94"/>
      <c r="IYO488" s="94"/>
      <c r="IYP488" s="95"/>
      <c r="IYQ488" s="96"/>
      <c r="IYR488" s="97"/>
      <c r="IYS488" s="97"/>
      <c r="IYT488" s="97"/>
      <c r="IYU488" s="97"/>
      <c r="IYV488" s="97"/>
      <c r="IYW488" s="97"/>
      <c r="IYX488" s="97"/>
      <c r="IYY488" s="97"/>
      <c r="IZA488" s="94"/>
      <c r="IZB488" s="94"/>
      <c r="IZC488" s="95"/>
      <c r="IZD488" s="96"/>
      <c r="IZE488" s="97"/>
      <c r="IZF488" s="97"/>
      <c r="IZG488" s="97"/>
      <c r="IZH488" s="97"/>
      <c r="IZI488" s="97"/>
      <c r="IZJ488" s="97"/>
      <c r="IZK488" s="97"/>
      <c r="IZL488" s="97"/>
      <c r="IZN488" s="94"/>
      <c r="IZO488" s="94"/>
      <c r="IZP488" s="95"/>
      <c r="IZQ488" s="96"/>
      <c r="IZR488" s="97"/>
      <c r="IZS488" s="97"/>
      <c r="IZT488" s="97"/>
      <c r="IZU488" s="97"/>
      <c r="IZV488" s="97"/>
      <c r="IZW488" s="97"/>
      <c r="IZX488" s="97"/>
      <c r="IZY488" s="97"/>
      <c r="JAA488" s="94"/>
      <c r="JAB488" s="94"/>
      <c r="JAC488" s="95"/>
      <c r="JAD488" s="96"/>
      <c r="JAE488" s="97"/>
      <c r="JAF488" s="97"/>
      <c r="JAG488" s="97"/>
      <c r="JAH488" s="97"/>
      <c r="JAI488" s="97"/>
      <c r="JAJ488" s="97"/>
      <c r="JAK488" s="97"/>
      <c r="JAL488" s="97"/>
      <c r="JAN488" s="94"/>
      <c r="JAO488" s="94"/>
      <c r="JAP488" s="95"/>
      <c r="JAQ488" s="96"/>
      <c r="JAR488" s="97"/>
      <c r="JAS488" s="97"/>
      <c r="JAT488" s="97"/>
      <c r="JAU488" s="97"/>
      <c r="JAV488" s="97"/>
      <c r="JAW488" s="97"/>
      <c r="JAX488" s="97"/>
      <c r="JAY488" s="97"/>
      <c r="JBA488" s="94"/>
      <c r="JBB488" s="94"/>
      <c r="JBC488" s="95"/>
      <c r="JBD488" s="96"/>
      <c r="JBE488" s="97"/>
      <c r="JBF488" s="97"/>
      <c r="JBG488" s="97"/>
      <c r="JBH488" s="97"/>
      <c r="JBI488" s="97"/>
      <c r="JBJ488" s="97"/>
      <c r="JBK488" s="97"/>
      <c r="JBL488" s="97"/>
      <c r="JBN488" s="94"/>
      <c r="JBO488" s="94"/>
      <c r="JBP488" s="95"/>
      <c r="JBQ488" s="96"/>
      <c r="JBR488" s="97"/>
      <c r="JBS488" s="97"/>
      <c r="JBT488" s="97"/>
      <c r="JBU488" s="97"/>
      <c r="JBV488" s="97"/>
      <c r="JBW488" s="97"/>
      <c r="JBX488" s="97"/>
      <c r="JBY488" s="97"/>
      <c r="JCA488" s="94"/>
      <c r="JCB488" s="94"/>
      <c r="JCC488" s="95"/>
      <c r="JCD488" s="96"/>
      <c r="JCE488" s="97"/>
      <c r="JCF488" s="97"/>
      <c r="JCG488" s="97"/>
      <c r="JCH488" s="97"/>
      <c r="JCI488" s="97"/>
      <c r="JCJ488" s="97"/>
      <c r="JCK488" s="97"/>
      <c r="JCL488" s="97"/>
      <c r="JCN488" s="94"/>
      <c r="JCO488" s="94"/>
      <c r="JCP488" s="95"/>
      <c r="JCQ488" s="96"/>
      <c r="JCR488" s="97"/>
      <c r="JCS488" s="97"/>
      <c r="JCT488" s="97"/>
      <c r="JCU488" s="97"/>
      <c r="JCV488" s="97"/>
      <c r="JCW488" s="97"/>
      <c r="JCX488" s="97"/>
      <c r="JCY488" s="97"/>
      <c r="JDA488" s="94"/>
      <c r="JDB488" s="94"/>
      <c r="JDC488" s="95"/>
      <c r="JDD488" s="96"/>
      <c r="JDE488" s="97"/>
      <c r="JDF488" s="97"/>
      <c r="JDG488" s="97"/>
      <c r="JDH488" s="97"/>
      <c r="JDI488" s="97"/>
      <c r="JDJ488" s="97"/>
      <c r="JDK488" s="97"/>
      <c r="JDL488" s="97"/>
      <c r="JDN488" s="94"/>
      <c r="JDO488" s="94"/>
      <c r="JDP488" s="95"/>
      <c r="JDQ488" s="96"/>
      <c r="JDR488" s="97"/>
      <c r="JDS488" s="97"/>
      <c r="JDT488" s="97"/>
      <c r="JDU488" s="97"/>
      <c r="JDV488" s="97"/>
      <c r="JDW488" s="97"/>
      <c r="JDX488" s="97"/>
      <c r="JDY488" s="97"/>
      <c r="JEA488" s="94"/>
      <c r="JEB488" s="94"/>
      <c r="JEC488" s="95"/>
      <c r="JED488" s="96"/>
      <c r="JEE488" s="97"/>
      <c r="JEF488" s="97"/>
      <c r="JEG488" s="97"/>
      <c r="JEH488" s="97"/>
      <c r="JEI488" s="97"/>
      <c r="JEJ488" s="97"/>
      <c r="JEK488" s="97"/>
      <c r="JEL488" s="97"/>
      <c r="JEN488" s="94"/>
      <c r="JEO488" s="94"/>
      <c r="JEP488" s="95"/>
      <c r="JEQ488" s="96"/>
      <c r="JER488" s="97"/>
      <c r="JES488" s="97"/>
      <c r="JET488" s="97"/>
      <c r="JEU488" s="97"/>
      <c r="JEV488" s="97"/>
      <c r="JEW488" s="97"/>
      <c r="JEX488" s="97"/>
      <c r="JEY488" s="97"/>
      <c r="JFA488" s="94"/>
      <c r="JFB488" s="94"/>
      <c r="JFC488" s="95"/>
      <c r="JFD488" s="96"/>
      <c r="JFE488" s="97"/>
      <c r="JFF488" s="97"/>
      <c r="JFG488" s="97"/>
      <c r="JFH488" s="97"/>
      <c r="JFI488" s="97"/>
      <c r="JFJ488" s="97"/>
      <c r="JFK488" s="97"/>
      <c r="JFL488" s="97"/>
      <c r="JFN488" s="94"/>
      <c r="JFO488" s="94"/>
      <c r="JFP488" s="95"/>
      <c r="JFQ488" s="96"/>
      <c r="JFR488" s="97"/>
      <c r="JFS488" s="97"/>
      <c r="JFT488" s="97"/>
      <c r="JFU488" s="97"/>
      <c r="JFV488" s="97"/>
      <c r="JFW488" s="97"/>
      <c r="JFX488" s="97"/>
      <c r="JFY488" s="97"/>
      <c r="JGA488" s="94"/>
      <c r="JGB488" s="94"/>
      <c r="JGC488" s="95"/>
      <c r="JGD488" s="96"/>
      <c r="JGE488" s="97"/>
      <c r="JGF488" s="97"/>
      <c r="JGG488" s="97"/>
      <c r="JGH488" s="97"/>
      <c r="JGI488" s="97"/>
      <c r="JGJ488" s="97"/>
      <c r="JGK488" s="97"/>
      <c r="JGL488" s="97"/>
      <c r="JGN488" s="94"/>
      <c r="JGO488" s="94"/>
      <c r="JGP488" s="95"/>
      <c r="JGQ488" s="96"/>
      <c r="JGR488" s="97"/>
      <c r="JGS488" s="97"/>
      <c r="JGT488" s="97"/>
      <c r="JGU488" s="97"/>
      <c r="JGV488" s="97"/>
      <c r="JGW488" s="97"/>
      <c r="JGX488" s="97"/>
      <c r="JGY488" s="97"/>
      <c r="JHA488" s="94"/>
      <c r="JHB488" s="94"/>
      <c r="JHC488" s="95"/>
      <c r="JHD488" s="96"/>
      <c r="JHE488" s="97"/>
      <c r="JHF488" s="97"/>
      <c r="JHG488" s="97"/>
      <c r="JHH488" s="97"/>
      <c r="JHI488" s="97"/>
      <c r="JHJ488" s="97"/>
      <c r="JHK488" s="97"/>
      <c r="JHL488" s="97"/>
      <c r="JHN488" s="94"/>
      <c r="JHO488" s="94"/>
      <c r="JHP488" s="95"/>
      <c r="JHQ488" s="96"/>
      <c r="JHR488" s="97"/>
      <c r="JHS488" s="97"/>
      <c r="JHT488" s="97"/>
      <c r="JHU488" s="97"/>
      <c r="JHV488" s="97"/>
      <c r="JHW488" s="97"/>
      <c r="JHX488" s="97"/>
      <c r="JHY488" s="97"/>
      <c r="JIA488" s="94"/>
      <c r="JIB488" s="94"/>
      <c r="JIC488" s="95"/>
      <c r="JID488" s="96"/>
      <c r="JIE488" s="97"/>
      <c r="JIF488" s="97"/>
      <c r="JIG488" s="97"/>
      <c r="JIH488" s="97"/>
      <c r="JII488" s="97"/>
      <c r="JIJ488" s="97"/>
      <c r="JIK488" s="97"/>
      <c r="JIL488" s="97"/>
      <c r="JIN488" s="94"/>
      <c r="JIO488" s="94"/>
      <c r="JIP488" s="95"/>
      <c r="JIQ488" s="96"/>
      <c r="JIR488" s="97"/>
      <c r="JIS488" s="97"/>
      <c r="JIT488" s="97"/>
      <c r="JIU488" s="97"/>
      <c r="JIV488" s="97"/>
      <c r="JIW488" s="97"/>
      <c r="JIX488" s="97"/>
      <c r="JIY488" s="97"/>
      <c r="JJA488" s="94"/>
      <c r="JJB488" s="94"/>
      <c r="JJC488" s="95"/>
      <c r="JJD488" s="96"/>
      <c r="JJE488" s="97"/>
      <c r="JJF488" s="97"/>
      <c r="JJG488" s="97"/>
      <c r="JJH488" s="97"/>
      <c r="JJI488" s="97"/>
      <c r="JJJ488" s="97"/>
      <c r="JJK488" s="97"/>
      <c r="JJL488" s="97"/>
      <c r="JJN488" s="94"/>
      <c r="JJO488" s="94"/>
      <c r="JJP488" s="95"/>
      <c r="JJQ488" s="96"/>
      <c r="JJR488" s="97"/>
      <c r="JJS488" s="97"/>
      <c r="JJT488" s="97"/>
      <c r="JJU488" s="97"/>
      <c r="JJV488" s="97"/>
      <c r="JJW488" s="97"/>
      <c r="JJX488" s="97"/>
      <c r="JJY488" s="97"/>
      <c r="JKA488" s="94"/>
      <c r="JKB488" s="94"/>
      <c r="JKC488" s="95"/>
      <c r="JKD488" s="96"/>
      <c r="JKE488" s="97"/>
      <c r="JKF488" s="97"/>
      <c r="JKG488" s="97"/>
      <c r="JKH488" s="97"/>
      <c r="JKI488" s="97"/>
      <c r="JKJ488" s="97"/>
      <c r="JKK488" s="97"/>
      <c r="JKL488" s="97"/>
      <c r="JKN488" s="94"/>
      <c r="JKO488" s="94"/>
      <c r="JKP488" s="95"/>
      <c r="JKQ488" s="96"/>
      <c r="JKR488" s="97"/>
      <c r="JKS488" s="97"/>
      <c r="JKT488" s="97"/>
      <c r="JKU488" s="97"/>
      <c r="JKV488" s="97"/>
      <c r="JKW488" s="97"/>
      <c r="JKX488" s="97"/>
      <c r="JKY488" s="97"/>
      <c r="JLA488" s="94"/>
      <c r="JLB488" s="94"/>
      <c r="JLC488" s="95"/>
      <c r="JLD488" s="96"/>
      <c r="JLE488" s="97"/>
      <c r="JLF488" s="97"/>
      <c r="JLG488" s="97"/>
      <c r="JLH488" s="97"/>
      <c r="JLI488" s="97"/>
      <c r="JLJ488" s="97"/>
      <c r="JLK488" s="97"/>
      <c r="JLL488" s="97"/>
      <c r="JLN488" s="94"/>
      <c r="JLO488" s="94"/>
      <c r="JLP488" s="95"/>
      <c r="JLQ488" s="96"/>
      <c r="JLR488" s="97"/>
      <c r="JLS488" s="97"/>
      <c r="JLT488" s="97"/>
      <c r="JLU488" s="97"/>
      <c r="JLV488" s="97"/>
      <c r="JLW488" s="97"/>
      <c r="JLX488" s="97"/>
      <c r="JLY488" s="97"/>
      <c r="JMA488" s="94"/>
      <c r="JMB488" s="94"/>
      <c r="JMC488" s="95"/>
      <c r="JMD488" s="96"/>
      <c r="JME488" s="97"/>
      <c r="JMF488" s="97"/>
      <c r="JMG488" s="97"/>
      <c r="JMH488" s="97"/>
      <c r="JMI488" s="97"/>
      <c r="JMJ488" s="97"/>
      <c r="JMK488" s="97"/>
      <c r="JML488" s="97"/>
      <c r="JMN488" s="94"/>
      <c r="JMO488" s="94"/>
      <c r="JMP488" s="95"/>
      <c r="JMQ488" s="96"/>
      <c r="JMR488" s="97"/>
      <c r="JMS488" s="97"/>
      <c r="JMT488" s="97"/>
      <c r="JMU488" s="97"/>
      <c r="JMV488" s="97"/>
      <c r="JMW488" s="97"/>
      <c r="JMX488" s="97"/>
      <c r="JMY488" s="97"/>
      <c r="JNA488" s="94"/>
      <c r="JNB488" s="94"/>
      <c r="JNC488" s="95"/>
      <c r="JND488" s="96"/>
      <c r="JNE488" s="97"/>
      <c r="JNF488" s="97"/>
      <c r="JNG488" s="97"/>
      <c r="JNH488" s="97"/>
      <c r="JNI488" s="97"/>
      <c r="JNJ488" s="97"/>
      <c r="JNK488" s="97"/>
      <c r="JNL488" s="97"/>
      <c r="JNN488" s="94"/>
      <c r="JNO488" s="94"/>
      <c r="JNP488" s="95"/>
      <c r="JNQ488" s="96"/>
      <c r="JNR488" s="97"/>
      <c r="JNS488" s="97"/>
      <c r="JNT488" s="97"/>
      <c r="JNU488" s="97"/>
      <c r="JNV488" s="97"/>
      <c r="JNW488" s="97"/>
      <c r="JNX488" s="97"/>
      <c r="JNY488" s="97"/>
      <c r="JOA488" s="94"/>
      <c r="JOB488" s="94"/>
      <c r="JOC488" s="95"/>
      <c r="JOD488" s="96"/>
      <c r="JOE488" s="97"/>
      <c r="JOF488" s="97"/>
      <c r="JOG488" s="97"/>
      <c r="JOH488" s="97"/>
      <c r="JOI488" s="97"/>
      <c r="JOJ488" s="97"/>
      <c r="JOK488" s="97"/>
      <c r="JOL488" s="97"/>
      <c r="JON488" s="94"/>
      <c r="JOO488" s="94"/>
      <c r="JOP488" s="95"/>
      <c r="JOQ488" s="96"/>
      <c r="JOR488" s="97"/>
      <c r="JOS488" s="97"/>
      <c r="JOT488" s="97"/>
      <c r="JOU488" s="97"/>
      <c r="JOV488" s="97"/>
      <c r="JOW488" s="97"/>
      <c r="JOX488" s="97"/>
      <c r="JOY488" s="97"/>
      <c r="JPA488" s="94"/>
      <c r="JPB488" s="94"/>
      <c r="JPC488" s="95"/>
      <c r="JPD488" s="96"/>
      <c r="JPE488" s="97"/>
      <c r="JPF488" s="97"/>
      <c r="JPG488" s="97"/>
      <c r="JPH488" s="97"/>
      <c r="JPI488" s="97"/>
      <c r="JPJ488" s="97"/>
      <c r="JPK488" s="97"/>
      <c r="JPL488" s="97"/>
      <c r="JPN488" s="94"/>
      <c r="JPO488" s="94"/>
      <c r="JPP488" s="95"/>
      <c r="JPQ488" s="96"/>
      <c r="JPR488" s="97"/>
      <c r="JPS488" s="97"/>
      <c r="JPT488" s="97"/>
      <c r="JPU488" s="97"/>
      <c r="JPV488" s="97"/>
      <c r="JPW488" s="97"/>
      <c r="JPX488" s="97"/>
      <c r="JPY488" s="97"/>
      <c r="JQA488" s="94"/>
      <c r="JQB488" s="94"/>
      <c r="JQC488" s="95"/>
      <c r="JQD488" s="96"/>
      <c r="JQE488" s="97"/>
      <c r="JQF488" s="97"/>
      <c r="JQG488" s="97"/>
      <c r="JQH488" s="97"/>
      <c r="JQI488" s="97"/>
      <c r="JQJ488" s="97"/>
      <c r="JQK488" s="97"/>
      <c r="JQL488" s="97"/>
      <c r="JQN488" s="94"/>
      <c r="JQO488" s="94"/>
      <c r="JQP488" s="95"/>
      <c r="JQQ488" s="96"/>
      <c r="JQR488" s="97"/>
      <c r="JQS488" s="97"/>
      <c r="JQT488" s="97"/>
      <c r="JQU488" s="97"/>
      <c r="JQV488" s="97"/>
      <c r="JQW488" s="97"/>
      <c r="JQX488" s="97"/>
      <c r="JQY488" s="97"/>
      <c r="JRA488" s="94"/>
      <c r="JRB488" s="94"/>
      <c r="JRC488" s="95"/>
      <c r="JRD488" s="96"/>
      <c r="JRE488" s="97"/>
      <c r="JRF488" s="97"/>
      <c r="JRG488" s="97"/>
      <c r="JRH488" s="97"/>
      <c r="JRI488" s="97"/>
      <c r="JRJ488" s="97"/>
      <c r="JRK488" s="97"/>
      <c r="JRL488" s="97"/>
      <c r="JRN488" s="94"/>
      <c r="JRO488" s="94"/>
      <c r="JRP488" s="95"/>
      <c r="JRQ488" s="96"/>
      <c r="JRR488" s="97"/>
      <c r="JRS488" s="97"/>
      <c r="JRT488" s="97"/>
      <c r="JRU488" s="97"/>
      <c r="JRV488" s="97"/>
      <c r="JRW488" s="97"/>
      <c r="JRX488" s="97"/>
      <c r="JRY488" s="97"/>
      <c r="JSA488" s="94"/>
      <c r="JSB488" s="94"/>
      <c r="JSC488" s="95"/>
      <c r="JSD488" s="96"/>
      <c r="JSE488" s="97"/>
      <c r="JSF488" s="97"/>
      <c r="JSG488" s="97"/>
      <c r="JSH488" s="97"/>
      <c r="JSI488" s="97"/>
      <c r="JSJ488" s="97"/>
      <c r="JSK488" s="97"/>
      <c r="JSL488" s="97"/>
      <c r="JSN488" s="94"/>
      <c r="JSO488" s="94"/>
      <c r="JSP488" s="95"/>
      <c r="JSQ488" s="96"/>
      <c r="JSR488" s="97"/>
      <c r="JSS488" s="97"/>
      <c r="JST488" s="97"/>
      <c r="JSU488" s="97"/>
      <c r="JSV488" s="97"/>
      <c r="JSW488" s="97"/>
      <c r="JSX488" s="97"/>
      <c r="JSY488" s="97"/>
      <c r="JTA488" s="94"/>
      <c r="JTB488" s="94"/>
      <c r="JTC488" s="95"/>
      <c r="JTD488" s="96"/>
      <c r="JTE488" s="97"/>
      <c r="JTF488" s="97"/>
      <c r="JTG488" s="97"/>
      <c r="JTH488" s="97"/>
      <c r="JTI488" s="97"/>
      <c r="JTJ488" s="97"/>
      <c r="JTK488" s="97"/>
      <c r="JTL488" s="97"/>
      <c r="JTN488" s="94"/>
      <c r="JTO488" s="94"/>
      <c r="JTP488" s="95"/>
      <c r="JTQ488" s="96"/>
      <c r="JTR488" s="97"/>
      <c r="JTS488" s="97"/>
      <c r="JTT488" s="97"/>
      <c r="JTU488" s="97"/>
      <c r="JTV488" s="97"/>
      <c r="JTW488" s="97"/>
      <c r="JTX488" s="97"/>
      <c r="JTY488" s="97"/>
      <c r="JUA488" s="94"/>
      <c r="JUB488" s="94"/>
      <c r="JUC488" s="95"/>
      <c r="JUD488" s="96"/>
      <c r="JUE488" s="97"/>
      <c r="JUF488" s="97"/>
      <c r="JUG488" s="97"/>
      <c r="JUH488" s="97"/>
      <c r="JUI488" s="97"/>
      <c r="JUJ488" s="97"/>
      <c r="JUK488" s="97"/>
      <c r="JUL488" s="97"/>
      <c r="JUN488" s="94"/>
      <c r="JUO488" s="94"/>
      <c r="JUP488" s="95"/>
      <c r="JUQ488" s="96"/>
      <c r="JUR488" s="97"/>
      <c r="JUS488" s="97"/>
      <c r="JUT488" s="97"/>
      <c r="JUU488" s="97"/>
      <c r="JUV488" s="97"/>
      <c r="JUW488" s="97"/>
      <c r="JUX488" s="97"/>
      <c r="JUY488" s="97"/>
      <c r="JVA488" s="94"/>
      <c r="JVB488" s="94"/>
      <c r="JVC488" s="95"/>
      <c r="JVD488" s="96"/>
      <c r="JVE488" s="97"/>
      <c r="JVF488" s="97"/>
      <c r="JVG488" s="97"/>
      <c r="JVH488" s="97"/>
      <c r="JVI488" s="97"/>
      <c r="JVJ488" s="97"/>
      <c r="JVK488" s="97"/>
      <c r="JVL488" s="97"/>
      <c r="JVN488" s="94"/>
      <c r="JVO488" s="94"/>
      <c r="JVP488" s="95"/>
      <c r="JVQ488" s="96"/>
      <c r="JVR488" s="97"/>
      <c r="JVS488" s="97"/>
      <c r="JVT488" s="97"/>
      <c r="JVU488" s="97"/>
      <c r="JVV488" s="97"/>
      <c r="JVW488" s="97"/>
      <c r="JVX488" s="97"/>
      <c r="JVY488" s="97"/>
      <c r="JWA488" s="94"/>
      <c r="JWB488" s="94"/>
      <c r="JWC488" s="95"/>
      <c r="JWD488" s="96"/>
      <c r="JWE488" s="97"/>
      <c r="JWF488" s="97"/>
      <c r="JWG488" s="97"/>
      <c r="JWH488" s="97"/>
      <c r="JWI488" s="97"/>
      <c r="JWJ488" s="97"/>
      <c r="JWK488" s="97"/>
      <c r="JWL488" s="97"/>
      <c r="JWN488" s="94"/>
      <c r="JWO488" s="94"/>
      <c r="JWP488" s="95"/>
      <c r="JWQ488" s="96"/>
      <c r="JWR488" s="97"/>
      <c r="JWS488" s="97"/>
      <c r="JWT488" s="97"/>
      <c r="JWU488" s="97"/>
      <c r="JWV488" s="97"/>
      <c r="JWW488" s="97"/>
      <c r="JWX488" s="97"/>
      <c r="JWY488" s="97"/>
      <c r="JXA488" s="94"/>
      <c r="JXB488" s="94"/>
      <c r="JXC488" s="95"/>
      <c r="JXD488" s="96"/>
      <c r="JXE488" s="97"/>
      <c r="JXF488" s="97"/>
      <c r="JXG488" s="97"/>
      <c r="JXH488" s="97"/>
      <c r="JXI488" s="97"/>
      <c r="JXJ488" s="97"/>
      <c r="JXK488" s="97"/>
      <c r="JXL488" s="97"/>
      <c r="JXN488" s="94"/>
      <c r="JXO488" s="94"/>
      <c r="JXP488" s="95"/>
      <c r="JXQ488" s="96"/>
      <c r="JXR488" s="97"/>
      <c r="JXS488" s="97"/>
      <c r="JXT488" s="97"/>
      <c r="JXU488" s="97"/>
      <c r="JXV488" s="97"/>
      <c r="JXW488" s="97"/>
      <c r="JXX488" s="97"/>
      <c r="JXY488" s="97"/>
      <c r="JYA488" s="94"/>
      <c r="JYB488" s="94"/>
      <c r="JYC488" s="95"/>
      <c r="JYD488" s="96"/>
      <c r="JYE488" s="97"/>
      <c r="JYF488" s="97"/>
      <c r="JYG488" s="97"/>
      <c r="JYH488" s="97"/>
      <c r="JYI488" s="97"/>
      <c r="JYJ488" s="97"/>
      <c r="JYK488" s="97"/>
      <c r="JYL488" s="97"/>
      <c r="JYN488" s="94"/>
      <c r="JYO488" s="94"/>
      <c r="JYP488" s="95"/>
      <c r="JYQ488" s="96"/>
      <c r="JYR488" s="97"/>
      <c r="JYS488" s="97"/>
      <c r="JYT488" s="97"/>
      <c r="JYU488" s="97"/>
      <c r="JYV488" s="97"/>
      <c r="JYW488" s="97"/>
      <c r="JYX488" s="97"/>
      <c r="JYY488" s="97"/>
      <c r="JZA488" s="94"/>
      <c r="JZB488" s="94"/>
      <c r="JZC488" s="95"/>
      <c r="JZD488" s="96"/>
      <c r="JZE488" s="97"/>
      <c r="JZF488" s="97"/>
      <c r="JZG488" s="97"/>
      <c r="JZH488" s="97"/>
      <c r="JZI488" s="97"/>
      <c r="JZJ488" s="97"/>
      <c r="JZK488" s="97"/>
      <c r="JZL488" s="97"/>
      <c r="JZN488" s="94"/>
      <c r="JZO488" s="94"/>
      <c r="JZP488" s="95"/>
      <c r="JZQ488" s="96"/>
      <c r="JZR488" s="97"/>
      <c r="JZS488" s="97"/>
      <c r="JZT488" s="97"/>
      <c r="JZU488" s="97"/>
      <c r="JZV488" s="97"/>
      <c r="JZW488" s="97"/>
      <c r="JZX488" s="97"/>
      <c r="JZY488" s="97"/>
      <c r="KAA488" s="94"/>
      <c r="KAB488" s="94"/>
      <c r="KAC488" s="95"/>
      <c r="KAD488" s="96"/>
      <c r="KAE488" s="97"/>
      <c r="KAF488" s="97"/>
      <c r="KAG488" s="97"/>
      <c r="KAH488" s="97"/>
      <c r="KAI488" s="97"/>
      <c r="KAJ488" s="97"/>
      <c r="KAK488" s="97"/>
      <c r="KAL488" s="97"/>
      <c r="KAN488" s="94"/>
      <c r="KAO488" s="94"/>
      <c r="KAP488" s="95"/>
      <c r="KAQ488" s="96"/>
      <c r="KAR488" s="97"/>
      <c r="KAS488" s="97"/>
      <c r="KAT488" s="97"/>
      <c r="KAU488" s="97"/>
      <c r="KAV488" s="97"/>
      <c r="KAW488" s="97"/>
      <c r="KAX488" s="97"/>
      <c r="KAY488" s="97"/>
      <c r="KBA488" s="94"/>
      <c r="KBB488" s="94"/>
      <c r="KBC488" s="95"/>
      <c r="KBD488" s="96"/>
      <c r="KBE488" s="97"/>
      <c r="KBF488" s="97"/>
      <c r="KBG488" s="97"/>
      <c r="KBH488" s="97"/>
      <c r="KBI488" s="97"/>
      <c r="KBJ488" s="97"/>
      <c r="KBK488" s="97"/>
      <c r="KBL488" s="97"/>
      <c r="KBN488" s="94"/>
      <c r="KBO488" s="94"/>
      <c r="KBP488" s="95"/>
      <c r="KBQ488" s="96"/>
      <c r="KBR488" s="97"/>
      <c r="KBS488" s="97"/>
      <c r="KBT488" s="97"/>
      <c r="KBU488" s="97"/>
      <c r="KBV488" s="97"/>
      <c r="KBW488" s="97"/>
      <c r="KBX488" s="97"/>
      <c r="KBY488" s="97"/>
      <c r="KCA488" s="94"/>
      <c r="KCB488" s="94"/>
      <c r="KCC488" s="95"/>
      <c r="KCD488" s="96"/>
      <c r="KCE488" s="97"/>
      <c r="KCF488" s="97"/>
      <c r="KCG488" s="97"/>
      <c r="KCH488" s="97"/>
      <c r="KCI488" s="97"/>
      <c r="KCJ488" s="97"/>
      <c r="KCK488" s="97"/>
      <c r="KCL488" s="97"/>
      <c r="KCN488" s="94"/>
      <c r="KCO488" s="94"/>
      <c r="KCP488" s="95"/>
      <c r="KCQ488" s="96"/>
      <c r="KCR488" s="97"/>
      <c r="KCS488" s="97"/>
      <c r="KCT488" s="97"/>
      <c r="KCU488" s="97"/>
      <c r="KCV488" s="97"/>
      <c r="KCW488" s="97"/>
      <c r="KCX488" s="97"/>
      <c r="KCY488" s="97"/>
      <c r="KDA488" s="94"/>
      <c r="KDB488" s="94"/>
      <c r="KDC488" s="95"/>
      <c r="KDD488" s="96"/>
      <c r="KDE488" s="97"/>
      <c r="KDF488" s="97"/>
      <c r="KDG488" s="97"/>
      <c r="KDH488" s="97"/>
      <c r="KDI488" s="97"/>
      <c r="KDJ488" s="97"/>
      <c r="KDK488" s="97"/>
      <c r="KDL488" s="97"/>
      <c r="KDN488" s="94"/>
      <c r="KDO488" s="94"/>
      <c r="KDP488" s="95"/>
      <c r="KDQ488" s="96"/>
      <c r="KDR488" s="97"/>
      <c r="KDS488" s="97"/>
      <c r="KDT488" s="97"/>
      <c r="KDU488" s="97"/>
      <c r="KDV488" s="97"/>
      <c r="KDW488" s="97"/>
      <c r="KDX488" s="97"/>
      <c r="KDY488" s="97"/>
      <c r="KEA488" s="94"/>
      <c r="KEB488" s="94"/>
      <c r="KEC488" s="95"/>
      <c r="KED488" s="96"/>
      <c r="KEE488" s="97"/>
      <c r="KEF488" s="97"/>
      <c r="KEG488" s="97"/>
      <c r="KEH488" s="97"/>
      <c r="KEI488" s="97"/>
      <c r="KEJ488" s="97"/>
      <c r="KEK488" s="97"/>
      <c r="KEL488" s="97"/>
      <c r="KEN488" s="94"/>
      <c r="KEO488" s="94"/>
      <c r="KEP488" s="95"/>
      <c r="KEQ488" s="96"/>
      <c r="KER488" s="97"/>
      <c r="KES488" s="97"/>
      <c r="KET488" s="97"/>
      <c r="KEU488" s="97"/>
      <c r="KEV488" s="97"/>
      <c r="KEW488" s="97"/>
      <c r="KEX488" s="97"/>
      <c r="KEY488" s="97"/>
      <c r="KFA488" s="94"/>
      <c r="KFB488" s="94"/>
      <c r="KFC488" s="95"/>
      <c r="KFD488" s="96"/>
      <c r="KFE488" s="97"/>
      <c r="KFF488" s="97"/>
      <c r="KFG488" s="97"/>
      <c r="KFH488" s="97"/>
      <c r="KFI488" s="97"/>
      <c r="KFJ488" s="97"/>
      <c r="KFK488" s="97"/>
      <c r="KFL488" s="97"/>
      <c r="KFN488" s="94"/>
      <c r="KFO488" s="94"/>
      <c r="KFP488" s="95"/>
      <c r="KFQ488" s="96"/>
      <c r="KFR488" s="97"/>
      <c r="KFS488" s="97"/>
      <c r="KFT488" s="97"/>
      <c r="KFU488" s="97"/>
      <c r="KFV488" s="97"/>
      <c r="KFW488" s="97"/>
      <c r="KFX488" s="97"/>
      <c r="KFY488" s="97"/>
      <c r="KGA488" s="94"/>
      <c r="KGB488" s="94"/>
      <c r="KGC488" s="95"/>
      <c r="KGD488" s="96"/>
      <c r="KGE488" s="97"/>
      <c r="KGF488" s="97"/>
      <c r="KGG488" s="97"/>
      <c r="KGH488" s="97"/>
      <c r="KGI488" s="97"/>
      <c r="KGJ488" s="97"/>
      <c r="KGK488" s="97"/>
      <c r="KGL488" s="97"/>
      <c r="KGN488" s="94"/>
      <c r="KGO488" s="94"/>
      <c r="KGP488" s="95"/>
      <c r="KGQ488" s="96"/>
      <c r="KGR488" s="97"/>
      <c r="KGS488" s="97"/>
      <c r="KGT488" s="97"/>
      <c r="KGU488" s="97"/>
      <c r="KGV488" s="97"/>
      <c r="KGW488" s="97"/>
      <c r="KGX488" s="97"/>
      <c r="KGY488" s="97"/>
      <c r="KHA488" s="94"/>
      <c r="KHB488" s="94"/>
      <c r="KHC488" s="95"/>
      <c r="KHD488" s="96"/>
      <c r="KHE488" s="97"/>
      <c r="KHF488" s="97"/>
      <c r="KHG488" s="97"/>
      <c r="KHH488" s="97"/>
      <c r="KHI488" s="97"/>
      <c r="KHJ488" s="97"/>
      <c r="KHK488" s="97"/>
      <c r="KHL488" s="97"/>
      <c r="KHN488" s="94"/>
      <c r="KHO488" s="94"/>
      <c r="KHP488" s="95"/>
      <c r="KHQ488" s="96"/>
      <c r="KHR488" s="97"/>
      <c r="KHS488" s="97"/>
      <c r="KHT488" s="97"/>
      <c r="KHU488" s="97"/>
      <c r="KHV488" s="97"/>
      <c r="KHW488" s="97"/>
      <c r="KHX488" s="97"/>
      <c r="KHY488" s="97"/>
      <c r="KIA488" s="94"/>
      <c r="KIB488" s="94"/>
      <c r="KIC488" s="95"/>
      <c r="KID488" s="96"/>
      <c r="KIE488" s="97"/>
      <c r="KIF488" s="97"/>
      <c r="KIG488" s="97"/>
      <c r="KIH488" s="97"/>
      <c r="KII488" s="97"/>
      <c r="KIJ488" s="97"/>
      <c r="KIK488" s="97"/>
      <c r="KIL488" s="97"/>
      <c r="KIN488" s="94"/>
      <c r="KIO488" s="94"/>
      <c r="KIP488" s="95"/>
      <c r="KIQ488" s="96"/>
      <c r="KIR488" s="97"/>
      <c r="KIS488" s="97"/>
      <c r="KIT488" s="97"/>
      <c r="KIU488" s="97"/>
      <c r="KIV488" s="97"/>
      <c r="KIW488" s="97"/>
      <c r="KIX488" s="97"/>
      <c r="KIY488" s="97"/>
      <c r="KJA488" s="94"/>
      <c r="KJB488" s="94"/>
      <c r="KJC488" s="95"/>
      <c r="KJD488" s="96"/>
      <c r="KJE488" s="97"/>
      <c r="KJF488" s="97"/>
      <c r="KJG488" s="97"/>
      <c r="KJH488" s="97"/>
      <c r="KJI488" s="97"/>
      <c r="KJJ488" s="97"/>
      <c r="KJK488" s="97"/>
      <c r="KJL488" s="97"/>
      <c r="KJN488" s="94"/>
      <c r="KJO488" s="94"/>
      <c r="KJP488" s="95"/>
      <c r="KJQ488" s="96"/>
      <c r="KJR488" s="97"/>
      <c r="KJS488" s="97"/>
      <c r="KJT488" s="97"/>
      <c r="KJU488" s="97"/>
      <c r="KJV488" s="97"/>
      <c r="KJW488" s="97"/>
      <c r="KJX488" s="97"/>
      <c r="KJY488" s="97"/>
      <c r="KKA488" s="94"/>
      <c r="KKB488" s="94"/>
      <c r="KKC488" s="95"/>
      <c r="KKD488" s="96"/>
      <c r="KKE488" s="97"/>
      <c r="KKF488" s="97"/>
      <c r="KKG488" s="97"/>
      <c r="KKH488" s="97"/>
      <c r="KKI488" s="97"/>
      <c r="KKJ488" s="97"/>
      <c r="KKK488" s="97"/>
      <c r="KKL488" s="97"/>
      <c r="KKN488" s="94"/>
      <c r="KKO488" s="94"/>
      <c r="KKP488" s="95"/>
      <c r="KKQ488" s="96"/>
      <c r="KKR488" s="97"/>
      <c r="KKS488" s="97"/>
      <c r="KKT488" s="97"/>
      <c r="KKU488" s="97"/>
      <c r="KKV488" s="97"/>
      <c r="KKW488" s="97"/>
      <c r="KKX488" s="97"/>
      <c r="KKY488" s="97"/>
      <c r="KLA488" s="94"/>
      <c r="KLB488" s="94"/>
      <c r="KLC488" s="95"/>
      <c r="KLD488" s="96"/>
      <c r="KLE488" s="97"/>
      <c r="KLF488" s="97"/>
      <c r="KLG488" s="97"/>
      <c r="KLH488" s="97"/>
      <c r="KLI488" s="97"/>
      <c r="KLJ488" s="97"/>
      <c r="KLK488" s="97"/>
      <c r="KLL488" s="97"/>
      <c r="KLN488" s="94"/>
      <c r="KLO488" s="94"/>
      <c r="KLP488" s="95"/>
      <c r="KLQ488" s="96"/>
      <c r="KLR488" s="97"/>
      <c r="KLS488" s="97"/>
      <c r="KLT488" s="97"/>
      <c r="KLU488" s="97"/>
      <c r="KLV488" s="97"/>
      <c r="KLW488" s="97"/>
      <c r="KLX488" s="97"/>
      <c r="KLY488" s="97"/>
      <c r="KMA488" s="94"/>
      <c r="KMB488" s="94"/>
      <c r="KMC488" s="95"/>
      <c r="KMD488" s="96"/>
      <c r="KME488" s="97"/>
      <c r="KMF488" s="97"/>
      <c r="KMG488" s="97"/>
      <c r="KMH488" s="97"/>
      <c r="KMI488" s="97"/>
      <c r="KMJ488" s="97"/>
      <c r="KMK488" s="97"/>
      <c r="KML488" s="97"/>
      <c r="KMN488" s="94"/>
      <c r="KMO488" s="94"/>
      <c r="KMP488" s="95"/>
      <c r="KMQ488" s="96"/>
      <c r="KMR488" s="97"/>
      <c r="KMS488" s="97"/>
      <c r="KMT488" s="97"/>
      <c r="KMU488" s="97"/>
      <c r="KMV488" s="97"/>
      <c r="KMW488" s="97"/>
      <c r="KMX488" s="97"/>
      <c r="KMY488" s="97"/>
      <c r="KNA488" s="94"/>
      <c r="KNB488" s="94"/>
      <c r="KNC488" s="95"/>
      <c r="KND488" s="96"/>
      <c r="KNE488" s="97"/>
      <c r="KNF488" s="97"/>
      <c r="KNG488" s="97"/>
      <c r="KNH488" s="97"/>
      <c r="KNI488" s="97"/>
      <c r="KNJ488" s="97"/>
      <c r="KNK488" s="97"/>
      <c r="KNL488" s="97"/>
      <c r="KNN488" s="94"/>
      <c r="KNO488" s="94"/>
      <c r="KNP488" s="95"/>
      <c r="KNQ488" s="96"/>
      <c r="KNR488" s="97"/>
      <c r="KNS488" s="97"/>
      <c r="KNT488" s="97"/>
      <c r="KNU488" s="97"/>
      <c r="KNV488" s="97"/>
      <c r="KNW488" s="97"/>
      <c r="KNX488" s="97"/>
      <c r="KNY488" s="97"/>
      <c r="KOA488" s="94"/>
      <c r="KOB488" s="94"/>
      <c r="KOC488" s="95"/>
      <c r="KOD488" s="96"/>
      <c r="KOE488" s="97"/>
      <c r="KOF488" s="97"/>
      <c r="KOG488" s="97"/>
      <c r="KOH488" s="97"/>
      <c r="KOI488" s="97"/>
      <c r="KOJ488" s="97"/>
      <c r="KOK488" s="97"/>
      <c r="KOL488" s="97"/>
      <c r="KON488" s="94"/>
      <c r="KOO488" s="94"/>
      <c r="KOP488" s="95"/>
      <c r="KOQ488" s="96"/>
      <c r="KOR488" s="97"/>
      <c r="KOS488" s="97"/>
      <c r="KOT488" s="97"/>
      <c r="KOU488" s="97"/>
      <c r="KOV488" s="97"/>
      <c r="KOW488" s="97"/>
      <c r="KOX488" s="97"/>
      <c r="KOY488" s="97"/>
      <c r="KPA488" s="94"/>
      <c r="KPB488" s="94"/>
      <c r="KPC488" s="95"/>
      <c r="KPD488" s="96"/>
      <c r="KPE488" s="97"/>
      <c r="KPF488" s="97"/>
      <c r="KPG488" s="97"/>
      <c r="KPH488" s="97"/>
      <c r="KPI488" s="97"/>
      <c r="KPJ488" s="97"/>
      <c r="KPK488" s="97"/>
      <c r="KPL488" s="97"/>
      <c r="KPN488" s="94"/>
      <c r="KPO488" s="94"/>
      <c r="KPP488" s="95"/>
      <c r="KPQ488" s="96"/>
      <c r="KPR488" s="97"/>
      <c r="KPS488" s="97"/>
      <c r="KPT488" s="97"/>
      <c r="KPU488" s="97"/>
      <c r="KPV488" s="97"/>
      <c r="KPW488" s="97"/>
      <c r="KPX488" s="97"/>
      <c r="KPY488" s="97"/>
      <c r="KQA488" s="94"/>
      <c r="KQB488" s="94"/>
      <c r="KQC488" s="95"/>
      <c r="KQD488" s="96"/>
      <c r="KQE488" s="97"/>
      <c r="KQF488" s="97"/>
      <c r="KQG488" s="97"/>
      <c r="KQH488" s="97"/>
      <c r="KQI488" s="97"/>
      <c r="KQJ488" s="97"/>
      <c r="KQK488" s="97"/>
      <c r="KQL488" s="97"/>
      <c r="KQN488" s="94"/>
      <c r="KQO488" s="94"/>
      <c r="KQP488" s="95"/>
      <c r="KQQ488" s="96"/>
      <c r="KQR488" s="97"/>
      <c r="KQS488" s="97"/>
      <c r="KQT488" s="97"/>
      <c r="KQU488" s="97"/>
      <c r="KQV488" s="97"/>
      <c r="KQW488" s="97"/>
      <c r="KQX488" s="97"/>
      <c r="KQY488" s="97"/>
      <c r="KRA488" s="94"/>
      <c r="KRB488" s="94"/>
      <c r="KRC488" s="95"/>
      <c r="KRD488" s="96"/>
      <c r="KRE488" s="97"/>
      <c r="KRF488" s="97"/>
      <c r="KRG488" s="97"/>
      <c r="KRH488" s="97"/>
      <c r="KRI488" s="97"/>
      <c r="KRJ488" s="97"/>
      <c r="KRK488" s="97"/>
      <c r="KRL488" s="97"/>
      <c r="KRN488" s="94"/>
      <c r="KRO488" s="94"/>
      <c r="KRP488" s="95"/>
      <c r="KRQ488" s="96"/>
      <c r="KRR488" s="97"/>
      <c r="KRS488" s="97"/>
      <c r="KRT488" s="97"/>
      <c r="KRU488" s="97"/>
      <c r="KRV488" s="97"/>
      <c r="KRW488" s="97"/>
      <c r="KRX488" s="97"/>
      <c r="KRY488" s="97"/>
      <c r="KSA488" s="94"/>
      <c r="KSB488" s="94"/>
      <c r="KSC488" s="95"/>
      <c r="KSD488" s="96"/>
      <c r="KSE488" s="97"/>
      <c r="KSF488" s="97"/>
      <c r="KSG488" s="97"/>
      <c r="KSH488" s="97"/>
      <c r="KSI488" s="97"/>
      <c r="KSJ488" s="97"/>
      <c r="KSK488" s="97"/>
      <c r="KSL488" s="97"/>
      <c r="KSN488" s="94"/>
      <c r="KSO488" s="94"/>
      <c r="KSP488" s="95"/>
      <c r="KSQ488" s="96"/>
      <c r="KSR488" s="97"/>
      <c r="KSS488" s="97"/>
      <c r="KST488" s="97"/>
      <c r="KSU488" s="97"/>
      <c r="KSV488" s="97"/>
      <c r="KSW488" s="97"/>
      <c r="KSX488" s="97"/>
      <c r="KSY488" s="97"/>
      <c r="KTA488" s="94"/>
      <c r="KTB488" s="94"/>
      <c r="KTC488" s="95"/>
      <c r="KTD488" s="96"/>
      <c r="KTE488" s="97"/>
      <c r="KTF488" s="97"/>
      <c r="KTG488" s="97"/>
      <c r="KTH488" s="97"/>
      <c r="KTI488" s="97"/>
      <c r="KTJ488" s="97"/>
      <c r="KTK488" s="97"/>
      <c r="KTL488" s="97"/>
      <c r="KTN488" s="94"/>
      <c r="KTO488" s="94"/>
      <c r="KTP488" s="95"/>
      <c r="KTQ488" s="96"/>
      <c r="KTR488" s="97"/>
      <c r="KTS488" s="97"/>
      <c r="KTT488" s="97"/>
      <c r="KTU488" s="97"/>
      <c r="KTV488" s="97"/>
      <c r="KTW488" s="97"/>
      <c r="KTX488" s="97"/>
      <c r="KTY488" s="97"/>
      <c r="KUA488" s="94"/>
      <c r="KUB488" s="94"/>
      <c r="KUC488" s="95"/>
      <c r="KUD488" s="96"/>
      <c r="KUE488" s="97"/>
      <c r="KUF488" s="97"/>
      <c r="KUG488" s="97"/>
      <c r="KUH488" s="97"/>
      <c r="KUI488" s="97"/>
      <c r="KUJ488" s="97"/>
      <c r="KUK488" s="97"/>
      <c r="KUL488" s="97"/>
      <c r="KUN488" s="94"/>
      <c r="KUO488" s="94"/>
      <c r="KUP488" s="95"/>
      <c r="KUQ488" s="96"/>
      <c r="KUR488" s="97"/>
      <c r="KUS488" s="97"/>
      <c r="KUT488" s="97"/>
      <c r="KUU488" s="97"/>
      <c r="KUV488" s="97"/>
      <c r="KUW488" s="97"/>
      <c r="KUX488" s="97"/>
      <c r="KUY488" s="97"/>
      <c r="KVA488" s="94"/>
      <c r="KVB488" s="94"/>
      <c r="KVC488" s="95"/>
      <c r="KVD488" s="96"/>
      <c r="KVE488" s="97"/>
      <c r="KVF488" s="97"/>
      <c r="KVG488" s="97"/>
      <c r="KVH488" s="97"/>
      <c r="KVI488" s="97"/>
      <c r="KVJ488" s="97"/>
      <c r="KVK488" s="97"/>
      <c r="KVL488" s="97"/>
      <c r="KVN488" s="94"/>
      <c r="KVO488" s="94"/>
      <c r="KVP488" s="95"/>
      <c r="KVQ488" s="96"/>
      <c r="KVR488" s="97"/>
      <c r="KVS488" s="97"/>
      <c r="KVT488" s="97"/>
      <c r="KVU488" s="97"/>
      <c r="KVV488" s="97"/>
      <c r="KVW488" s="97"/>
      <c r="KVX488" s="97"/>
      <c r="KVY488" s="97"/>
      <c r="KWA488" s="94"/>
      <c r="KWB488" s="94"/>
      <c r="KWC488" s="95"/>
      <c r="KWD488" s="96"/>
      <c r="KWE488" s="97"/>
      <c r="KWF488" s="97"/>
      <c r="KWG488" s="97"/>
      <c r="KWH488" s="97"/>
      <c r="KWI488" s="97"/>
      <c r="KWJ488" s="97"/>
      <c r="KWK488" s="97"/>
      <c r="KWL488" s="97"/>
      <c r="KWN488" s="94"/>
      <c r="KWO488" s="94"/>
      <c r="KWP488" s="95"/>
      <c r="KWQ488" s="96"/>
      <c r="KWR488" s="97"/>
      <c r="KWS488" s="97"/>
      <c r="KWT488" s="97"/>
      <c r="KWU488" s="97"/>
      <c r="KWV488" s="97"/>
      <c r="KWW488" s="97"/>
      <c r="KWX488" s="97"/>
      <c r="KWY488" s="97"/>
      <c r="KXA488" s="94"/>
      <c r="KXB488" s="94"/>
      <c r="KXC488" s="95"/>
      <c r="KXD488" s="96"/>
      <c r="KXE488" s="97"/>
      <c r="KXF488" s="97"/>
      <c r="KXG488" s="97"/>
      <c r="KXH488" s="97"/>
      <c r="KXI488" s="97"/>
      <c r="KXJ488" s="97"/>
      <c r="KXK488" s="97"/>
      <c r="KXL488" s="97"/>
      <c r="KXN488" s="94"/>
      <c r="KXO488" s="94"/>
      <c r="KXP488" s="95"/>
      <c r="KXQ488" s="96"/>
      <c r="KXR488" s="97"/>
      <c r="KXS488" s="97"/>
      <c r="KXT488" s="97"/>
      <c r="KXU488" s="97"/>
      <c r="KXV488" s="97"/>
      <c r="KXW488" s="97"/>
      <c r="KXX488" s="97"/>
      <c r="KXY488" s="97"/>
      <c r="KYA488" s="94"/>
      <c r="KYB488" s="94"/>
      <c r="KYC488" s="95"/>
      <c r="KYD488" s="96"/>
      <c r="KYE488" s="97"/>
      <c r="KYF488" s="97"/>
      <c r="KYG488" s="97"/>
      <c r="KYH488" s="97"/>
      <c r="KYI488" s="97"/>
      <c r="KYJ488" s="97"/>
      <c r="KYK488" s="97"/>
      <c r="KYL488" s="97"/>
      <c r="KYN488" s="94"/>
      <c r="KYO488" s="94"/>
      <c r="KYP488" s="95"/>
      <c r="KYQ488" s="96"/>
      <c r="KYR488" s="97"/>
      <c r="KYS488" s="97"/>
      <c r="KYT488" s="97"/>
      <c r="KYU488" s="97"/>
      <c r="KYV488" s="97"/>
      <c r="KYW488" s="97"/>
      <c r="KYX488" s="97"/>
      <c r="KYY488" s="97"/>
      <c r="KZA488" s="94"/>
      <c r="KZB488" s="94"/>
      <c r="KZC488" s="95"/>
      <c r="KZD488" s="96"/>
      <c r="KZE488" s="97"/>
      <c r="KZF488" s="97"/>
      <c r="KZG488" s="97"/>
      <c r="KZH488" s="97"/>
      <c r="KZI488" s="97"/>
      <c r="KZJ488" s="97"/>
      <c r="KZK488" s="97"/>
      <c r="KZL488" s="97"/>
      <c r="KZN488" s="94"/>
      <c r="KZO488" s="94"/>
      <c r="KZP488" s="95"/>
      <c r="KZQ488" s="96"/>
      <c r="KZR488" s="97"/>
      <c r="KZS488" s="97"/>
      <c r="KZT488" s="97"/>
      <c r="KZU488" s="97"/>
      <c r="KZV488" s="97"/>
      <c r="KZW488" s="97"/>
      <c r="KZX488" s="97"/>
      <c r="KZY488" s="97"/>
      <c r="LAA488" s="94"/>
      <c r="LAB488" s="94"/>
      <c r="LAC488" s="95"/>
      <c r="LAD488" s="96"/>
      <c r="LAE488" s="97"/>
      <c r="LAF488" s="97"/>
      <c r="LAG488" s="97"/>
      <c r="LAH488" s="97"/>
      <c r="LAI488" s="97"/>
      <c r="LAJ488" s="97"/>
      <c r="LAK488" s="97"/>
      <c r="LAL488" s="97"/>
      <c r="LAN488" s="94"/>
      <c r="LAO488" s="94"/>
      <c r="LAP488" s="95"/>
      <c r="LAQ488" s="96"/>
      <c r="LAR488" s="97"/>
      <c r="LAS488" s="97"/>
      <c r="LAT488" s="97"/>
      <c r="LAU488" s="97"/>
      <c r="LAV488" s="97"/>
      <c r="LAW488" s="97"/>
      <c r="LAX488" s="97"/>
      <c r="LAY488" s="97"/>
      <c r="LBA488" s="94"/>
      <c r="LBB488" s="94"/>
      <c r="LBC488" s="95"/>
      <c r="LBD488" s="96"/>
      <c r="LBE488" s="97"/>
      <c r="LBF488" s="97"/>
      <c r="LBG488" s="97"/>
      <c r="LBH488" s="97"/>
      <c r="LBI488" s="97"/>
      <c r="LBJ488" s="97"/>
      <c r="LBK488" s="97"/>
      <c r="LBL488" s="97"/>
      <c r="LBN488" s="94"/>
      <c r="LBO488" s="94"/>
      <c r="LBP488" s="95"/>
      <c r="LBQ488" s="96"/>
      <c r="LBR488" s="97"/>
      <c r="LBS488" s="97"/>
      <c r="LBT488" s="97"/>
      <c r="LBU488" s="97"/>
      <c r="LBV488" s="97"/>
      <c r="LBW488" s="97"/>
      <c r="LBX488" s="97"/>
      <c r="LBY488" s="97"/>
      <c r="LCA488" s="94"/>
      <c r="LCB488" s="94"/>
      <c r="LCC488" s="95"/>
      <c r="LCD488" s="96"/>
      <c r="LCE488" s="97"/>
      <c r="LCF488" s="97"/>
      <c r="LCG488" s="97"/>
      <c r="LCH488" s="97"/>
      <c r="LCI488" s="97"/>
      <c r="LCJ488" s="97"/>
      <c r="LCK488" s="97"/>
      <c r="LCL488" s="97"/>
      <c r="LCN488" s="94"/>
      <c r="LCO488" s="94"/>
      <c r="LCP488" s="95"/>
      <c r="LCQ488" s="96"/>
      <c r="LCR488" s="97"/>
      <c r="LCS488" s="97"/>
      <c r="LCT488" s="97"/>
      <c r="LCU488" s="97"/>
      <c r="LCV488" s="97"/>
      <c r="LCW488" s="97"/>
      <c r="LCX488" s="97"/>
      <c r="LCY488" s="97"/>
      <c r="LDA488" s="94"/>
      <c r="LDB488" s="94"/>
      <c r="LDC488" s="95"/>
      <c r="LDD488" s="96"/>
      <c r="LDE488" s="97"/>
      <c r="LDF488" s="97"/>
      <c r="LDG488" s="97"/>
      <c r="LDH488" s="97"/>
      <c r="LDI488" s="97"/>
      <c r="LDJ488" s="97"/>
      <c r="LDK488" s="97"/>
      <c r="LDL488" s="97"/>
      <c r="LDN488" s="94"/>
      <c r="LDO488" s="94"/>
      <c r="LDP488" s="95"/>
      <c r="LDQ488" s="96"/>
      <c r="LDR488" s="97"/>
      <c r="LDS488" s="97"/>
      <c r="LDT488" s="97"/>
      <c r="LDU488" s="97"/>
      <c r="LDV488" s="97"/>
      <c r="LDW488" s="97"/>
      <c r="LDX488" s="97"/>
      <c r="LDY488" s="97"/>
      <c r="LEA488" s="94"/>
      <c r="LEB488" s="94"/>
      <c r="LEC488" s="95"/>
      <c r="LED488" s="96"/>
      <c r="LEE488" s="97"/>
      <c r="LEF488" s="97"/>
      <c r="LEG488" s="97"/>
      <c r="LEH488" s="97"/>
      <c r="LEI488" s="97"/>
      <c r="LEJ488" s="97"/>
      <c r="LEK488" s="97"/>
      <c r="LEL488" s="97"/>
      <c r="LEN488" s="94"/>
      <c r="LEO488" s="94"/>
      <c r="LEP488" s="95"/>
      <c r="LEQ488" s="96"/>
      <c r="LER488" s="97"/>
      <c r="LES488" s="97"/>
      <c r="LET488" s="97"/>
      <c r="LEU488" s="97"/>
      <c r="LEV488" s="97"/>
      <c r="LEW488" s="97"/>
      <c r="LEX488" s="97"/>
      <c r="LEY488" s="97"/>
      <c r="LFA488" s="94"/>
      <c r="LFB488" s="94"/>
      <c r="LFC488" s="95"/>
      <c r="LFD488" s="96"/>
      <c r="LFE488" s="97"/>
      <c r="LFF488" s="97"/>
      <c r="LFG488" s="97"/>
      <c r="LFH488" s="97"/>
      <c r="LFI488" s="97"/>
      <c r="LFJ488" s="97"/>
      <c r="LFK488" s="97"/>
      <c r="LFL488" s="97"/>
      <c r="LFN488" s="94"/>
      <c r="LFO488" s="94"/>
      <c r="LFP488" s="95"/>
      <c r="LFQ488" s="96"/>
      <c r="LFR488" s="97"/>
      <c r="LFS488" s="97"/>
      <c r="LFT488" s="97"/>
      <c r="LFU488" s="97"/>
      <c r="LFV488" s="97"/>
      <c r="LFW488" s="97"/>
      <c r="LFX488" s="97"/>
      <c r="LFY488" s="97"/>
      <c r="LGA488" s="94"/>
      <c r="LGB488" s="94"/>
      <c r="LGC488" s="95"/>
      <c r="LGD488" s="96"/>
      <c r="LGE488" s="97"/>
      <c r="LGF488" s="97"/>
      <c r="LGG488" s="97"/>
      <c r="LGH488" s="97"/>
      <c r="LGI488" s="97"/>
      <c r="LGJ488" s="97"/>
      <c r="LGK488" s="97"/>
      <c r="LGL488" s="97"/>
      <c r="LGN488" s="94"/>
      <c r="LGO488" s="94"/>
      <c r="LGP488" s="95"/>
      <c r="LGQ488" s="96"/>
      <c r="LGR488" s="97"/>
      <c r="LGS488" s="97"/>
      <c r="LGT488" s="97"/>
      <c r="LGU488" s="97"/>
      <c r="LGV488" s="97"/>
      <c r="LGW488" s="97"/>
      <c r="LGX488" s="97"/>
      <c r="LGY488" s="97"/>
      <c r="LHA488" s="94"/>
      <c r="LHB488" s="94"/>
      <c r="LHC488" s="95"/>
      <c r="LHD488" s="96"/>
      <c r="LHE488" s="97"/>
      <c r="LHF488" s="97"/>
      <c r="LHG488" s="97"/>
      <c r="LHH488" s="97"/>
      <c r="LHI488" s="97"/>
      <c r="LHJ488" s="97"/>
      <c r="LHK488" s="97"/>
      <c r="LHL488" s="97"/>
      <c r="LHN488" s="94"/>
      <c r="LHO488" s="94"/>
      <c r="LHP488" s="95"/>
      <c r="LHQ488" s="96"/>
      <c r="LHR488" s="97"/>
      <c r="LHS488" s="97"/>
      <c r="LHT488" s="97"/>
      <c r="LHU488" s="97"/>
      <c r="LHV488" s="97"/>
      <c r="LHW488" s="97"/>
      <c r="LHX488" s="97"/>
      <c r="LHY488" s="97"/>
      <c r="LIA488" s="94"/>
      <c r="LIB488" s="94"/>
      <c r="LIC488" s="95"/>
      <c r="LID488" s="96"/>
      <c r="LIE488" s="97"/>
      <c r="LIF488" s="97"/>
      <c r="LIG488" s="97"/>
      <c r="LIH488" s="97"/>
      <c r="LII488" s="97"/>
      <c r="LIJ488" s="97"/>
      <c r="LIK488" s="97"/>
      <c r="LIL488" s="97"/>
      <c r="LIN488" s="94"/>
      <c r="LIO488" s="94"/>
      <c r="LIP488" s="95"/>
      <c r="LIQ488" s="96"/>
      <c r="LIR488" s="97"/>
      <c r="LIS488" s="97"/>
      <c r="LIT488" s="97"/>
      <c r="LIU488" s="97"/>
      <c r="LIV488" s="97"/>
      <c r="LIW488" s="97"/>
      <c r="LIX488" s="97"/>
      <c r="LIY488" s="97"/>
      <c r="LJA488" s="94"/>
      <c r="LJB488" s="94"/>
      <c r="LJC488" s="95"/>
      <c r="LJD488" s="96"/>
      <c r="LJE488" s="97"/>
      <c r="LJF488" s="97"/>
      <c r="LJG488" s="97"/>
      <c r="LJH488" s="97"/>
      <c r="LJI488" s="97"/>
      <c r="LJJ488" s="97"/>
      <c r="LJK488" s="97"/>
      <c r="LJL488" s="97"/>
      <c r="LJN488" s="94"/>
      <c r="LJO488" s="94"/>
      <c r="LJP488" s="95"/>
      <c r="LJQ488" s="96"/>
      <c r="LJR488" s="97"/>
      <c r="LJS488" s="97"/>
      <c r="LJT488" s="97"/>
      <c r="LJU488" s="97"/>
      <c r="LJV488" s="97"/>
      <c r="LJW488" s="97"/>
      <c r="LJX488" s="97"/>
      <c r="LJY488" s="97"/>
      <c r="LKA488" s="94"/>
      <c r="LKB488" s="94"/>
      <c r="LKC488" s="95"/>
      <c r="LKD488" s="96"/>
      <c r="LKE488" s="97"/>
      <c r="LKF488" s="97"/>
      <c r="LKG488" s="97"/>
      <c r="LKH488" s="97"/>
      <c r="LKI488" s="97"/>
      <c r="LKJ488" s="97"/>
      <c r="LKK488" s="97"/>
      <c r="LKL488" s="97"/>
      <c r="LKN488" s="94"/>
      <c r="LKO488" s="94"/>
      <c r="LKP488" s="95"/>
      <c r="LKQ488" s="96"/>
      <c r="LKR488" s="97"/>
      <c r="LKS488" s="97"/>
      <c r="LKT488" s="97"/>
      <c r="LKU488" s="97"/>
      <c r="LKV488" s="97"/>
      <c r="LKW488" s="97"/>
      <c r="LKX488" s="97"/>
      <c r="LKY488" s="97"/>
      <c r="LLA488" s="94"/>
      <c r="LLB488" s="94"/>
      <c r="LLC488" s="95"/>
      <c r="LLD488" s="96"/>
      <c r="LLE488" s="97"/>
      <c r="LLF488" s="97"/>
      <c r="LLG488" s="97"/>
      <c r="LLH488" s="97"/>
      <c r="LLI488" s="97"/>
      <c r="LLJ488" s="97"/>
      <c r="LLK488" s="97"/>
      <c r="LLL488" s="97"/>
      <c r="LLN488" s="94"/>
      <c r="LLO488" s="94"/>
      <c r="LLP488" s="95"/>
      <c r="LLQ488" s="96"/>
      <c r="LLR488" s="97"/>
      <c r="LLS488" s="97"/>
      <c r="LLT488" s="97"/>
      <c r="LLU488" s="97"/>
      <c r="LLV488" s="97"/>
      <c r="LLW488" s="97"/>
      <c r="LLX488" s="97"/>
      <c r="LLY488" s="97"/>
      <c r="LMA488" s="94"/>
      <c r="LMB488" s="94"/>
      <c r="LMC488" s="95"/>
      <c r="LMD488" s="96"/>
      <c r="LME488" s="97"/>
      <c r="LMF488" s="97"/>
      <c r="LMG488" s="97"/>
      <c r="LMH488" s="97"/>
      <c r="LMI488" s="97"/>
      <c r="LMJ488" s="97"/>
      <c r="LMK488" s="97"/>
      <c r="LML488" s="97"/>
      <c r="LMN488" s="94"/>
      <c r="LMO488" s="94"/>
      <c r="LMP488" s="95"/>
      <c r="LMQ488" s="96"/>
      <c r="LMR488" s="97"/>
      <c r="LMS488" s="97"/>
      <c r="LMT488" s="97"/>
      <c r="LMU488" s="97"/>
      <c r="LMV488" s="97"/>
      <c r="LMW488" s="97"/>
      <c r="LMX488" s="97"/>
      <c r="LMY488" s="97"/>
      <c r="LNA488" s="94"/>
      <c r="LNB488" s="94"/>
      <c r="LNC488" s="95"/>
      <c r="LND488" s="96"/>
      <c r="LNE488" s="97"/>
      <c r="LNF488" s="97"/>
      <c r="LNG488" s="97"/>
      <c r="LNH488" s="97"/>
      <c r="LNI488" s="97"/>
      <c r="LNJ488" s="97"/>
      <c r="LNK488" s="97"/>
      <c r="LNL488" s="97"/>
      <c r="LNN488" s="94"/>
      <c r="LNO488" s="94"/>
      <c r="LNP488" s="95"/>
      <c r="LNQ488" s="96"/>
      <c r="LNR488" s="97"/>
      <c r="LNS488" s="97"/>
      <c r="LNT488" s="97"/>
      <c r="LNU488" s="97"/>
      <c r="LNV488" s="97"/>
      <c r="LNW488" s="97"/>
      <c r="LNX488" s="97"/>
      <c r="LNY488" s="97"/>
      <c r="LOA488" s="94"/>
      <c r="LOB488" s="94"/>
      <c r="LOC488" s="95"/>
      <c r="LOD488" s="96"/>
      <c r="LOE488" s="97"/>
      <c r="LOF488" s="97"/>
      <c r="LOG488" s="97"/>
      <c r="LOH488" s="97"/>
      <c r="LOI488" s="97"/>
      <c r="LOJ488" s="97"/>
      <c r="LOK488" s="97"/>
      <c r="LOL488" s="97"/>
      <c r="LON488" s="94"/>
      <c r="LOO488" s="94"/>
      <c r="LOP488" s="95"/>
      <c r="LOQ488" s="96"/>
      <c r="LOR488" s="97"/>
      <c r="LOS488" s="97"/>
      <c r="LOT488" s="97"/>
      <c r="LOU488" s="97"/>
      <c r="LOV488" s="97"/>
      <c r="LOW488" s="97"/>
      <c r="LOX488" s="97"/>
      <c r="LOY488" s="97"/>
      <c r="LPA488" s="94"/>
      <c r="LPB488" s="94"/>
      <c r="LPC488" s="95"/>
      <c r="LPD488" s="96"/>
      <c r="LPE488" s="97"/>
      <c r="LPF488" s="97"/>
      <c r="LPG488" s="97"/>
      <c r="LPH488" s="97"/>
      <c r="LPI488" s="97"/>
      <c r="LPJ488" s="97"/>
      <c r="LPK488" s="97"/>
      <c r="LPL488" s="97"/>
      <c r="LPN488" s="94"/>
      <c r="LPO488" s="94"/>
      <c r="LPP488" s="95"/>
      <c r="LPQ488" s="96"/>
      <c r="LPR488" s="97"/>
      <c r="LPS488" s="97"/>
      <c r="LPT488" s="97"/>
      <c r="LPU488" s="97"/>
      <c r="LPV488" s="97"/>
      <c r="LPW488" s="97"/>
      <c r="LPX488" s="97"/>
      <c r="LPY488" s="97"/>
      <c r="LQA488" s="94"/>
      <c r="LQB488" s="94"/>
      <c r="LQC488" s="95"/>
      <c r="LQD488" s="96"/>
      <c r="LQE488" s="97"/>
      <c r="LQF488" s="97"/>
      <c r="LQG488" s="97"/>
      <c r="LQH488" s="97"/>
      <c r="LQI488" s="97"/>
      <c r="LQJ488" s="97"/>
      <c r="LQK488" s="97"/>
      <c r="LQL488" s="97"/>
      <c r="LQN488" s="94"/>
      <c r="LQO488" s="94"/>
      <c r="LQP488" s="95"/>
      <c r="LQQ488" s="96"/>
      <c r="LQR488" s="97"/>
      <c r="LQS488" s="97"/>
      <c r="LQT488" s="97"/>
      <c r="LQU488" s="97"/>
      <c r="LQV488" s="97"/>
      <c r="LQW488" s="97"/>
      <c r="LQX488" s="97"/>
      <c r="LQY488" s="97"/>
      <c r="LRA488" s="94"/>
      <c r="LRB488" s="94"/>
      <c r="LRC488" s="95"/>
      <c r="LRD488" s="96"/>
      <c r="LRE488" s="97"/>
      <c r="LRF488" s="97"/>
      <c r="LRG488" s="97"/>
      <c r="LRH488" s="97"/>
      <c r="LRI488" s="97"/>
      <c r="LRJ488" s="97"/>
      <c r="LRK488" s="97"/>
      <c r="LRL488" s="97"/>
      <c r="LRN488" s="94"/>
      <c r="LRO488" s="94"/>
      <c r="LRP488" s="95"/>
      <c r="LRQ488" s="96"/>
      <c r="LRR488" s="97"/>
      <c r="LRS488" s="97"/>
      <c r="LRT488" s="97"/>
      <c r="LRU488" s="97"/>
      <c r="LRV488" s="97"/>
      <c r="LRW488" s="97"/>
      <c r="LRX488" s="97"/>
      <c r="LRY488" s="97"/>
      <c r="LSA488" s="94"/>
      <c r="LSB488" s="94"/>
      <c r="LSC488" s="95"/>
      <c r="LSD488" s="96"/>
      <c r="LSE488" s="97"/>
      <c r="LSF488" s="97"/>
      <c r="LSG488" s="97"/>
      <c r="LSH488" s="97"/>
      <c r="LSI488" s="97"/>
      <c r="LSJ488" s="97"/>
      <c r="LSK488" s="97"/>
      <c r="LSL488" s="97"/>
      <c r="LSN488" s="94"/>
      <c r="LSO488" s="94"/>
      <c r="LSP488" s="95"/>
      <c r="LSQ488" s="96"/>
      <c r="LSR488" s="97"/>
      <c r="LSS488" s="97"/>
      <c r="LST488" s="97"/>
      <c r="LSU488" s="97"/>
      <c r="LSV488" s="97"/>
      <c r="LSW488" s="97"/>
      <c r="LSX488" s="97"/>
      <c r="LSY488" s="97"/>
      <c r="LTA488" s="94"/>
      <c r="LTB488" s="94"/>
      <c r="LTC488" s="95"/>
      <c r="LTD488" s="96"/>
      <c r="LTE488" s="97"/>
      <c r="LTF488" s="97"/>
      <c r="LTG488" s="97"/>
      <c r="LTH488" s="97"/>
      <c r="LTI488" s="97"/>
      <c r="LTJ488" s="97"/>
      <c r="LTK488" s="97"/>
      <c r="LTL488" s="97"/>
      <c r="LTN488" s="94"/>
      <c r="LTO488" s="94"/>
      <c r="LTP488" s="95"/>
      <c r="LTQ488" s="96"/>
      <c r="LTR488" s="97"/>
      <c r="LTS488" s="97"/>
      <c r="LTT488" s="97"/>
      <c r="LTU488" s="97"/>
      <c r="LTV488" s="97"/>
      <c r="LTW488" s="97"/>
      <c r="LTX488" s="97"/>
      <c r="LTY488" s="97"/>
      <c r="LUA488" s="94"/>
      <c r="LUB488" s="94"/>
      <c r="LUC488" s="95"/>
      <c r="LUD488" s="96"/>
      <c r="LUE488" s="97"/>
      <c r="LUF488" s="97"/>
      <c r="LUG488" s="97"/>
      <c r="LUH488" s="97"/>
      <c r="LUI488" s="97"/>
      <c r="LUJ488" s="97"/>
      <c r="LUK488" s="97"/>
      <c r="LUL488" s="97"/>
      <c r="LUN488" s="94"/>
      <c r="LUO488" s="94"/>
      <c r="LUP488" s="95"/>
      <c r="LUQ488" s="96"/>
      <c r="LUR488" s="97"/>
      <c r="LUS488" s="97"/>
      <c r="LUT488" s="97"/>
      <c r="LUU488" s="97"/>
      <c r="LUV488" s="97"/>
      <c r="LUW488" s="97"/>
      <c r="LUX488" s="97"/>
      <c r="LUY488" s="97"/>
      <c r="LVA488" s="94"/>
      <c r="LVB488" s="94"/>
      <c r="LVC488" s="95"/>
      <c r="LVD488" s="96"/>
      <c r="LVE488" s="97"/>
      <c r="LVF488" s="97"/>
      <c r="LVG488" s="97"/>
      <c r="LVH488" s="97"/>
      <c r="LVI488" s="97"/>
      <c r="LVJ488" s="97"/>
      <c r="LVK488" s="97"/>
      <c r="LVL488" s="97"/>
      <c r="LVN488" s="94"/>
      <c r="LVO488" s="94"/>
      <c r="LVP488" s="95"/>
      <c r="LVQ488" s="96"/>
      <c r="LVR488" s="97"/>
      <c r="LVS488" s="97"/>
      <c r="LVT488" s="97"/>
      <c r="LVU488" s="97"/>
      <c r="LVV488" s="97"/>
      <c r="LVW488" s="97"/>
      <c r="LVX488" s="97"/>
      <c r="LVY488" s="97"/>
      <c r="LWA488" s="94"/>
      <c r="LWB488" s="94"/>
      <c r="LWC488" s="95"/>
      <c r="LWD488" s="96"/>
      <c r="LWE488" s="97"/>
      <c r="LWF488" s="97"/>
      <c r="LWG488" s="97"/>
      <c r="LWH488" s="97"/>
      <c r="LWI488" s="97"/>
      <c r="LWJ488" s="97"/>
      <c r="LWK488" s="97"/>
      <c r="LWL488" s="97"/>
      <c r="LWN488" s="94"/>
      <c r="LWO488" s="94"/>
      <c r="LWP488" s="95"/>
      <c r="LWQ488" s="96"/>
      <c r="LWR488" s="97"/>
      <c r="LWS488" s="97"/>
      <c r="LWT488" s="97"/>
      <c r="LWU488" s="97"/>
      <c r="LWV488" s="97"/>
      <c r="LWW488" s="97"/>
      <c r="LWX488" s="97"/>
      <c r="LWY488" s="97"/>
      <c r="LXA488" s="94"/>
      <c r="LXB488" s="94"/>
      <c r="LXC488" s="95"/>
      <c r="LXD488" s="96"/>
      <c r="LXE488" s="97"/>
      <c r="LXF488" s="97"/>
      <c r="LXG488" s="97"/>
      <c r="LXH488" s="97"/>
      <c r="LXI488" s="97"/>
      <c r="LXJ488" s="97"/>
      <c r="LXK488" s="97"/>
      <c r="LXL488" s="97"/>
      <c r="LXN488" s="94"/>
      <c r="LXO488" s="94"/>
      <c r="LXP488" s="95"/>
      <c r="LXQ488" s="96"/>
      <c r="LXR488" s="97"/>
      <c r="LXS488" s="97"/>
      <c r="LXT488" s="97"/>
      <c r="LXU488" s="97"/>
      <c r="LXV488" s="97"/>
      <c r="LXW488" s="97"/>
      <c r="LXX488" s="97"/>
      <c r="LXY488" s="97"/>
      <c r="LYA488" s="94"/>
      <c r="LYB488" s="94"/>
      <c r="LYC488" s="95"/>
      <c r="LYD488" s="96"/>
      <c r="LYE488" s="97"/>
      <c r="LYF488" s="97"/>
      <c r="LYG488" s="97"/>
      <c r="LYH488" s="97"/>
      <c r="LYI488" s="97"/>
      <c r="LYJ488" s="97"/>
      <c r="LYK488" s="97"/>
      <c r="LYL488" s="97"/>
      <c r="LYN488" s="94"/>
      <c r="LYO488" s="94"/>
      <c r="LYP488" s="95"/>
      <c r="LYQ488" s="96"/>
      <c r="LYR488" s="97"/>
      <c r="LYS488" s="97"/>
      <c r="LYT488" s="97"/>
      <c r="LYU488" s="97"/>
      <c r="LYV488" s="97"/>
      <c r="LYW488" s="97"/>
      <c r="LYX488" s="97"/>
      <c r="LYY488" s="97"/>
      <c r="LZA488" s="94"/>
      <c r="LZB488" s="94"/>
      <c r="LZC488" s="95"/>
      <c r="LZD488" s="96"/>
      <c r="LZE488" s="97"/>
      <c r="LZF488" s="97"/>
      <c r="LZG488" s="97"/>
      <c r="LZH488" s="97"/>
      <c r="LZI488" s="97"/>
      <c r="LZJ488" s="97"/>
      <c r="LZK488" s="97"/>
      <c r="LZL488" s="97"/>
      <c r="LZN488" s="94"/>
      <c r="LZO488" s="94"/>
      <c r="LZP488" s="95"/>
      <c r="LZQ488" s="96"/>
      <c r="LZR488" s="97"/>
      <c r="LZS488" s="97"/>
      <c r="LZT488" s="97"/>
      <c r="LZU488" s="97"/>
      <c r="LZV488" s="97"/>
      <c r="LZW488" s="97"/>
      <c r="LZX488" s="97"/>
      <c r="LZY488" s="97"/>
      <c r="MAA488" s="94"/>
      <c r="MAB488" s="94"/>
      <c r="MAC488" s="95"/>
      <c r="MAD488" s="96"/>
      <c r="MAE488" s="97"/>
      <c r="MAF488" s="97"/>
      <c r="MAG488" s="97"/>
      <c r="MAH488" s="97"/>
      <c r="MAI488" s="97"/>
      <c r="MAJ488" s="97"/>
      <c r="MAK488" s="97"/>
      <c r="MAL488" s="97"/>
      <c r="MAN488" s="94"/>
      <c r="MAO488" s="94"/>
      <c r="MAP488" s="95"/>
      <c r="MAQ488" s="96"/>
      <c r="MAR488" s="97"/>
      <c r="MAS488" s="97"/>
      <c r="MAT488" s="97"/>
      <c r="MAU488" s="97"/>
      <c r="MAV488" s="97"/>
      <c r="MAW488" s="97"/>
      <c r="MAX488" s="97"/>
      <c r="MAY488" s="97"/>
      <c r="MBA488" s="94"/>
      <c r="MBB488" s="94"/>
      <c r="MBC488" s="95"/>
      <c r="MBD488" s="96"/>
      <c r="MBE488" s="97"/>
      <c r="MBF488" s="97"/>
      <c r="MBG488" s="97"/>
      <c r="MBH488" s="97"/>
      <c r="MBI488" s="97"/>
      <c r="MBJ488" s="97"/>
      <c r="MBK488" s="97"/>
      <c r="MBL488" s="97"/>
      <c r="MBN488" s="94"/>
      <c r="MBO488" s="94"/>
      <c r="MBP488" s="95"/>
      <c r="MBQ488" s="96"/>
      <c r="MBR488" s="97"/>
      <c r="MBS488" s="97"/>
      <c r="MBT488" s="97"/>
      <c r="MBU488" s="97"/>
      <c r="MBV488" s="97"/>
      <c r="MBW488" s="97"/>
      <c r="MBX488" s="97"/>
      <c r="MBY488" s="97"/>
      <c r="MCA488" s="94"/>
      <c r="MCB488" s="94"/>
      <c r="MCC488" s="95"/>
      <c r="MCD488" s="96"/>
      <c r="MCE488" s="97"/>
      <c r="MCF488" s="97"/>
      <c r="MCG488" s="97"/>
      <c r="MCH488" s="97"/>
      <c r="MCI488" s="97"/>
      <c r="MCJ488" s="97"/>
      <c r="MCK488" s="97"/>
      <c r="MCL488" s="97"/>
      <c r="MCN488" s="94"/>
      <c r="MCO488" s="94"/>
      <c r="MCP488" s="95"/>
      <c r="MCQ488" s="96"/>
      <c r="MCR488" s="97"/>
      <c r="MCS488" s="97"/>
      <c r="MCT488" s="97"/>
      <c r="MCU488" s="97"/>
      <c r="MCV488" s="97"/>
      <c r="MCW488" s="97"/>
      <c r="MCX488" s="97"/>
      <c r="MCY488" s="97"/>
      <c r="MDA488" s="94"/>
      <c r="MDB488" s="94"/>
      <c r="MDC488" s="95"/>
      <c r="MDD488" s="96"/>
      <c r="MDE488" s="97"/>
      <c r="MDF488" s="97"/>
      <c r="MDG488" s="97"/>
      <c r="MDH488" s="97"/>
      <c r="MDI488" s="97"/>
      <c r="MDJ488" s="97"/>
      <c r="MDK488" s="97"/>
      <c r="MDL488" s="97"/>
      <c r="MDN488" s="94"/>
      <c r="MDO488" s="94"/>
      <c r="MDP488" s="95"/>
      <c r="MDQ488" s="96"/>
      <c r="MDR488" s="97"/>
      <c r="MDS488" s="97"/>
      <c r="MDT488" s="97"/>
      <c r="MDU488" s="97"/>
      <c r="MDV488" s="97"/>
      <c r="MDW488" s="97"/>
      <c r="MDX488" s="97"/>
      <c r="MDY488" s="97"/>
      <c r="MEA488" s="94"/>
      <c r="MEB488" s="94"/>
      <c r="MEC488" s="95"/>
      <c r="MED488" s="96"/>
      <c r="MEE488" s="97"/>
      <c r="MEF488" s="97"/>
      <c r="MEG488" s="97"/>
      <c r="MEH488" s="97"/>
      <c r="MEI488" s="97"/>
      <c r="MEJ488" s="97"/>
      <c r="MEK488" s="97"/>
      <c r="MEL488" s="97"/>
      <c r="MEN488" s="94"/>
      <c r="MEO488" s="94"/>
      <c r="MEP488" s="95"/>
      <c r="MEQ488" s="96"/>
      <c r="MER488" s="97"/>
      <c r="MES488" s="97"/>
      <c r="MET488" s="97"/>
      <c r="MEU488" s="97"/>
      <c r="MEV488" s="97"/>
      <c r="MEW488" s="97"/>
      <c r="MEX488" s="97"/>
      <c r="MEY488" s="97"/>
      <c r="MFA488" s="94"/>
      <c r="MFB488" s="94"/>
      <c r="MFC488" s="95"/>
      <c r="MFD488" s="96"/>
      <c r="MFE488" s="97"/>
      <c r="MFF488" s="97"/>
      <c r="MFG488" s="97"/>
      <c r="MFH488" s="97"/>
      <c r="MFI488" s="97"/>
      <c r="MFJ488" s="97"/>
      <c r="MFK488" s="97"/>
      <c r="MFL488" s="97"/>
      <c r="MFN488" s="94"/>
      <c r="MFO488" s="94"/>
      <c r="MFP488" s="95"/>
      <c r="MFQ488" s="96"/>
      <c r="MFR488" s="97"/>
      <c r="MFS488" s="97"/>
      <c r="MFT488" s="97"/>
      <c r="MFU488" s="97"/>
      <c r="MFV488" s="97"/>
      <c r="MFW488" s="97"/>
      <c r="MFX488" s="97"/>
      <c r="MFY488" s="97"/>
      <c r="MGA488" s="94"/>
      <c r="MGB488" s="94"/>
      <c r="MGC488" s="95"/>
      <c r="MGD488" s="96"/>
      <c r="MGE488" s="97"/>
      <c r="MGF488" s="97"/>
      <c r="MGG488" s="97"/>
      <c r="MGH488" s="97"/>
      <c r="MGI488" s="97"/>
      <c r="MGJ488" s="97"/>
      <c r="MGK488" s="97"/>
      <c r="MGL488" s="97"/>
      <c r="MGN488" s="94"/>
      <c r="MGO488" s="94"/>
      <c r="MGP488" s="95"/>
      <c r="MGQ488" s="96"/>
      <c r="MGR488" s="97"/>
      <c r="MGS488" s="97"/>
      <c r="MGT488" s="97"/>
      <c r="MGU488" s="97"/>
      <c r="MGV488" s="97"/>
      <c r="MGW488" s="97"/>
      <c r="MGX488" s="97"/>
      <c r="MGY488" s="97"/>
      <c r="MHA488" s="94"/>
      <c r="MHB488" s="94"/>
      <c r="MHC488" s="95"/>
      <c r="MHD488" s="96"/>
      <c r="MHE488" s="97"/>
      <c r="MHF488" s="97"/>
      <c r="MHG488" s="97"/>
      <c r="MHH488" s="97"/>
      <c r="MHI488" s="97"/>
      <c r="MHJ488" s="97"/>
      <c r="MHK488" s="97"/>
      <c r="MHL488" s="97"/>
      <c r="MHN488" s="94"/>
      <c r="MHO488" s="94"/>
      <c r="MHP488" s="95"/>
      <c r="MHQ488" s="96"/>
      <c r="MHR488" s="97"/>
      <c r="MHS488" s="97"/>
      <c r="MHT488" s="97"/>
      <c r="MHU488" s="97"/>
      <c r="MHV488" s="97"/>
      <c r="MHW488" s="97"/>
      <c r="MHX488" s="97"/>
      <c r="MHY488" s="97"/>
      <c r="MIA488" s="94"/>
      <c r="MIB488" s="94"/>
      <c r="MIC488" s="95"/>
      <c r="MID488" s="96"/>
      <c r="MIE488" s="97"/>
      <c r="MIF488" s="97"/>
      <c r="MIG488" s="97"/>
      <c r="MIH488" s="97"/>
      <c r="MII488" s="97"/>
      <c r="MIJ488" s="97"/>
      <c r="MIK488" s="97"/>
      <c r="MIL488" s="97"/>
      <c r="MIN488" s="94"/>
      <c r="MIO488" s="94"/>
      <c r="MIP488" s="95"/>
      <c r="MIQ488" s="96"/>
      <c r="MIR488" s="97"/>
      <c r="MIS488" s="97"/>
      <c r="MIT488" s="97"/>
      <c r="MIU488" s="97"/>
      <c r="MIV488" s="97"/>
      <c r="MIW488" s="97"/>
      <c r="MIX488" s="97"/>
      <c r="MIY488" s="97"/>
      <c r="MJA488" s="94"/>
      <c r="MJB488" s="94"/>
      <c r="MJC488" s="95"/>
      <c r="MJD488" s="96"/>
      <c r="MJE488" s="97"/>
      <c r="MJF488" s="97"/>
      <c r="MJG488" s="97"/>
      <c r="MJH488" s="97"/>
      <c r="MJI488" s="97"/>
      <c r="MJJ488" s="97"/>
      <c r="MJK488" s="97"/>
      <c r="MJL488" s="97"/>
      <c r="MJN488" s="94"/>
      <c r="MJO488" s="94"/>
      <c r="MJP488" s="95"/>
      <c r="MJQ488" s="96"/>
      <c r="MJR488" s="97"/>
      <c r="MJS488" s="97"/>
      <c r="MJT488" s="97"/>
      <c r="MJU488" s="97"/>
      <c r="MJV488" s="97"/>
      <c r="MJW488" s="97"/>
      <c r="MJX488" s="97"/>
      <c r="MJY488" s="97"/>
      <c r="MKA488" s="94"/>
      <c r="MKB488" s="94"/>
      <c r="MKC488" s="95"/>
      <c r="MKD488" s="96"/>
      <c r="MKE488" s="97"/>
      <c r="MKF488" s="97"/>
      <c r="MKG488" s="97"/>
      <c r="MKH488" s="97"/>
      <c r="MKI488" s="97"/>
      <c r="MKJ488" s="97"/>
      <c r="MKK488" s="97"/>
      <c r="MKL488" s="97"/>
      <c r="MKN488" s="94"/>
      <c r="MKO488" s="94"/>
      <c r="MKP488" s="95"/>
      <c r="MKQ488" s="96"/>
      <c r="MKR488" s="97"/>
      <c r="MKS488" s="97"/>
      <c r="MKT488" s="97"/>
      <c r="MKU488" s="97"/>
      <c r="MKV488" s="97"/>
      <c r="MKW488" s="97"/>
      <c r="MKX488" s="97"/>
      <c r="MKY488" s="97"/>
      <c r="MLA488" s="94"/>
      <c r="MLB488" s="94"/>
      <c r="MLC488" s="95"/>
      <c r="MLD488" s="96"/>
      <c r="MLE488" s="97"/>
      <c r="MLF488" s="97"/>
      <c r="MLG488" s="97"/>
      <c r="MLH488" s="97"/>
      <c r="MLI488" s="97"/>
      <c r="MLJ488" s="97"/>
      <c r="MLK488" s="97"/>
      <c r="MLL488" s="97"/>
      <c r="MLN488" s="94"/>
      <c r="MLO488" s="94"/>
      <c r="MLP488" s="95"/>
      <c r="MLQ488" s="96"/>
      <c r="MLR488" s="97"/>
      <c r="MLS488" s="97"/>
      <c r="MLT488" s="97"/>
      <c r="MLU488" s="97"/>
      <c r="MLV488" s="97"/>
      <c r="MLW488" s="97"/>
      <c r="MLX488" s="97"/>
      <c r="MLY488" s="97"/>
      <c r="MMA488" s="94"/>
      <c r="MMB488" s="94"/>
      <c r="MMC488" s="95"/>
      <c r="MMD488" s="96"/>
      <c r="MME488" s="97"/>
      <c r="MMF488" s="97"/>
      <c r="MMG488" s="97"/>
      <c r="MMH488" s="97"/>
      <c r="MMI488" s="97"/>
      <c r="MMJ488" s="97"/>
      <c r="MMK488" s="97"/>
      <c r="MML488" s="97"/>
      <c r="MMN488" s="94"/>
      <c r="MMO488" s="94"/>
      <c r="MMP488" s="95"/>
      <c r="MMQ488" s="96"/>
      <c r="MMR488" s="97"/>
      <c r="MMS488" s="97"/>
      <c r="MMT488" s="97"/>
      <c r="MMU488" s="97"/>
      <c r="MMV488" s="97"/>
      <c r="MMW488" s="97"/>
      <c r="MMX488" s="97"/>
      <c r="MMY488" s="97"/>
      <c r="MNA488" s="94"/>
      <c r="MNB488" s="94"/>
      <c r="MNC488" s="95"/>
      <c r="MND488" s="96"/>
      <c r="MNE488" s="97"/>
      <c r="MNF488" s="97"/>
      <c r="MNG488" s="97"/>
      <c r="MNH488" s="97"/>
      <c r="MNI488" s="97"/>
      <c r="MNJ488" s="97"/>
      <c r="MNK488" s="97"/>
      <c r="MNL488" s="97"/>
      <c r="MNN488" s="94"/>
      <c r="MNO488" s="94"/>
      <c r="MNP488" s="95"/>
      <c r="MNQ488" s="96"/>
      <c r="MNR488" s="97"/>
      <c r="MNS488" s="97"/>
      <c r="MNT488" s="97"/>
      <c r="MNU488" s="97"/>
      <c r="MNV488" s="97"/>
      <c r="MNW488" s="97"/>
      <c r="MNX488" s="97"/>
      <c r="MNY488" s="97"/>
      <c r="MOA488" s="94"/>
      <c r="MOB488" s="94"/>
      <c r="MOC488" s="95"/>
      <c r="MOD488" s="96"/>
      <c r="MOE488" s="97"/>
      <c r="MOF488" s="97"/>
      <c r="MOG488" s="97"/>
      <c r="MOH488" s="97"/>
      <c r="MOI488" s="97"/>
      <c r="MOJ488" s="97"/>
      <c r="MOK488" s="97"/>
      <c r="MOL488" s="97"/>
      <c r="MON488" s="94"/>
      <c r="MOO488" s="94"/>
      <c r="MOP488" s="95"/>
      <c r="MOQ488" s="96"/>
      <c r="MOR488" s="97"/>
      <c r="MOS488" s="97"/>
      <c r="MOT488" s="97"/>
      <c r="MOU488" s="97"/>
      <c r="MOV488" s="97"/>
      <c r="MOW488" s="97"/>
      <c r="MOX488" s="97"/>
      <c r="MOY488" s="97"/>
      <c r="MPA488" s="94"/>
      <c r="MPB488" s="94"/>
      <c r="MPC488" s="95"/>
      <c r="MPD488" s="96"/>
      <c r="MPE488" s="97"/>
      <c r="MPF488" s="97"/>
      <c r="MPG488" s="97"/>
      <c r="MPH488" s="97"/>
      <c r="MPI488" s="97"/>
      <c r="MPJ488" s="97"/>
      <c r="MPK488" s="97"/>
      <c r="MPL488" s="97"/>
      <c r="MPN488" s="94"/>
      <c r="MPO488" s="94"/>
      <c r="MPP488" s="95"/>
      <c r="MPQ488" s="96"/>
      <c r="MPR488" s="97"/>
      <c r="MPS488" s="97"/>
      <c r="MPT488" s="97"/>
      <c r="MPU488" s="97"/>
      <c r="MPV488" s="97"/>
      <c r="MPW488" s="97"/>
      <c r="MPX488" s="97"/>
      <c r="MPY488" s="97"/>
      <c r="MQA488" s="94"/>
      <c r="MQB488" s="94"/>
      <c r="MQC488" s="95"/>
      <c r="MQD488" s="96"/>
      <c r="MQE488" s="97"/>
      <c r="MQF488" s="97"/>
      <c r="MQG488" s="97"/>
      <c r="MQH488" s="97"/>
      <c r="MQI488" s="97"/>
      <c r="MQJ488" s="97"/>
      <c r="MQK488" s="97"/>
      <c r="MQL488" s="97"/>
      <c r="MQN488" s="94"/>
      <c r="MQO488" s="94"/>
      <c r="MQP488" s="95"/>
      <c r="MQQ488" s="96"/>
      <c r="MQR488" s="97"/>
      <c r="MQS488" s="97"/>
      <c r="MQT488" s="97"/>
      <c r="MQU488" s="97"/>
      <c r="MQV488" s="97"/>
      <c r="MQW488" s="97"/>
      <c r="MQX488" s="97"/>
      <c r="MQY488" s="97"/>
      <c r="MRA488" s="94"/>
      <c r="MRB488" s="94"/>
      <c r="MRC488" s="95"/>
      <c r="MRD488" s="96"/>
      <c r="MRE488" s="97"/>
      <c r="MRF488" s="97"/>
      <c r="MRG488" s="97"/>
      <c r="MRH488" s="97"/>
      <c r="MRI488" s="97"/>
      <c r="MRJ488" s="97"/>
      <c r="MRK488" s="97"/>
      <c r="MRL488" s="97"/>
      <c r="MRN488" s="94"/>
      <c r="MRO488" s="94"/>
      <c r="MRP488" s="95"/>
      <c r="MRQ488" s="96"/>
      <c r="MRR488" s="97"/>
      <c r="MRS488" s="97"/>
      <c r="MRT488" s="97"/>
      <c r="MRU488" s="97"/>
      <c r="MRV488" s="97"/>
      <c r="MRW488" s="97"/>
      <c r="MRX488" s="97"/>
      <c r="MRY488" s="97"/>
      <c r="MSA488" s="94"/>
      <c r="MSB488" s="94"/>
      <c r="MSC488" s="95"/>
      <c r="MSD488" s="96"/>
      <c r="MSE488" s="97"/>
      <c r="MSF488" s="97"/>
      <c r="MSG488" s="97"/>
      <c r="MSH488" s="97"/>
      <c r="MSI488" s="97"/>
      <c r="MSJ488" s="97"/>
      <c r="MSK488" s="97"/>
      <c r="MSL488" s="97"/>
      <c r="MSN488" s="94"/>
      <c r="MSO488" s="94"/>
      <c r="MSP488" s="95"/>
      <c r="MSQ488" s="96"/>
      <c r="MSR488" s="97"/>
      <c r="MSS488" s="97"/>
      <c r="MST488" s="97"/>
      <c r="MSU488" s="97"/>
      <c r="MSV488" s="97"/>
      <c r="MSW488" s="97"/>
      <c r="MSX488" s="97"/>
      <c r="MSY488" s="97"/>
      <c r="MTA488" s="94"/>
      <c r="MTB488" s="94"/>
      <c r="MTC488" s="95"/>
      <c r="MTD488" s="96"/>
      <c r="MTE488" s="97"/>
      <c r="MTF488" s="97"/>
      <c r="MTG488" s="97"/>
      <c r="MTH488" s="97"/>
      <c r="MTI488" s="97"/>
      <c r="MTJ488" s="97"/>
      <c r="MTK488" s="97"/>
      <c r="MTL488" s="97"/>
      <c r="MTN488" s="94"/>
      <c r="MTO488" s="94"/>
      <c r="MTP488" s="95"/>
      <c r="MTQ488" s="96"/>
      <c r="MTR488" s="97"/>
      <c r="MTS488" s="97"/>
      <c r="MTT488" s="97"/>
      <c r="MTU488" s="97"/>
      <c r="MTV488" s="97"/>
      <c r="MTW488" s="97"/>
      <c r="MTX488" s="97"/>
      <c r="MTY488" s="97"/>
      <c r="MUA488" s="94"/>
      <c r="MUB488" s="94"/>
      <c r="MUC488" s="95"/>
      <c r="MUD488" s="96"/>
      <c r="MUE488" s="97"/>
      <c r="MUF488" s="97"/>
      <c r="MUG488" s="97"/>
      <c r="MUH488" s="97"/>
      <c r="MUI488" s="97"/>
      <c r="MUJ488" s="97"/>
      <c r="MUK488" s="97"/>
      <c r="MUL488" s="97"/>
      <c r="MUN488" s="94"/>
      <c r="MUO488" s="94"/>
      <c r="MUP488" s="95"/>
      <c r="MUQ488" s="96"/>
      <c r="MUR488" s="97"/>
      <c r="MUS488" s="97"/>
      <c r="MUT488" s="97"/>
      <c r="MUU488" s="97"/>
      <c r="MUV488" s="97"/>
      <c r="MUW488" s="97"/>
      <c r="MUX488" s="97"/>
      <c r="MUY488" s="97"/>
      <c r="MVA488" s="94"/>
      <c r="MVB488" s="94"/>
      <c r="MVC488" s="95"/>
      <c r="MVD488" s="96"/>
      <c r="MVE488" s="97"/>
      <c r="MVF488" s="97"/>
      <c r="MVG488" s="97"/>
      <c r="MVH488" s="97"/>
      <c r="MVI488" s="97"/>
      <c r="MVJ488" s="97"/>
      <c r="MVK488" s="97"/>
      <c r="MVL488" s="97"/>
      <c r="MVN488" s="94"/>
      <c r="MVO488" s="94"/>
      <c r="MVP488" s="95"/>
      <c r="MVQ488" s="96"/>
      <c r="MVR488" s="97"/>
      <c r="MVS488" s="97"/>
      <c r="MVT488" s="97"/>
      <c r="MVU488" s="97"/>
      <c r="MVV488" s="97"/>
      <c r="MVW488" s="97"/>
      <c r="MVX488" s="97"/>
      <c r="MVY488" s="97"/>
      <c r="MWA488" s="94"/>
      <c r="MWB488" s="94"/>
      <c r="MWC488" s="95"/>
      <c r="MWD488" s="96"/>
      <c r="MWE488" s="97"/>
      <c r="MWF488" s="97"/>
      <c r="MWG488" s="97"/>
      <c r="MWH488" s="97"/>
      <c r="MWI488" s="97"/>
      <c r="MWJ488" s="97"/>
      <c r="MWK488" s="97"/>
      <c r="MWL488" s="97"/>
      <c r="MWN488" s="94"/>
      <c r="MWO488" s="94"/>
      <c r="MWP488" s="95"/>
      <c r="MWQ488" s="96"/>
      <c r="MWR488" s="97"/>
      <c r="MWS488" s="97"/>
      <c r="MWT488" s="97"/>
      <c r="MWU488" s="97"/>
      <c r="MWV488" s="97"/>
      <c r="MWW488" s="97"/>
      <c r="MWX488" s="97"/>
      <c r="MWY488" s="97"/>
      <c r="MXA488" s="94"/>
      <c r="MXB488" s="94"/>
      <c r="MXC488" s="95"/>
      <c r="MXD488" s="96"/>
      <c r="MXE488" s="97"/>
      <c r="MXF488" s="97"/>
      <c r="MXG488" s="97"/>
      <c r="MXH488" s="97"/>
      <c r="MXI488" s="97"/>
      <c r="MXJ488" s="97"/>
      <c r="MXK488" s="97"/>
      <c r="MXL488" s="97"/>
      <c r="MXN488" s="94"/>
      <c r="MXO488" s="94"/>
      <c r="MXP488" s="95"/>
      <c r="MXQ488" s="96"/>
      <c r="MXR488" s="97"/>
      <c r="MXS488" s="97"/>
      <c r="MXT488" s="97"/>
      <c r="MXU488" s="97"/>
      <c r="MXV488" s="97"/>
      <c r="MXW488" s="97"/>
      <c r="MXX488" s="97"/>
      <c r="MXY488" s="97"/>
      <c r="MYA488" s="94"/>
      <c r="MYB488" s="94"/>
      <c r="MYC488" s="95"/>
      <c r="MYD488" s="96"/>
      <c r="MYE488" s="97"/>
      <c r="MYF488" s="97"/>
      <c r="MYG488" s="97"/>
      <c r="MYH488" s="97"/>
      <c r="MYI488" s="97"/>
      <c r="MYJ488" s="97"/>
      <c r="MYK488" s="97"/>
      <c r="MYL488" s="97"/>
      <c r="MYN488" s="94"/>
      <c r="MYO488" s="94"/>
      <c r="MYP488" s="95"/>
      <c r="MYQ488" s="96"/>
      <c r="MYR488" s="97"/>
      <c r="MYS488" s="97"/>
      <c r="MYT488" s="97"/>
      <c r="MYU488" s="97"/>
      <c r="MYV488" s="97"/>
      <c r="MYW488" s="97"/>
      <c r="MYX488" s="97"/>
      <c r="MYY488" s="97"/>
      <c r="MZA488" s="94"/>
      <c r="MZB488" s="94"/>
      <c r="MZC488" s="95"/>
      <c r="MZD488" s="96"/>
      <c r="MZE488" s="97"/>
      <c r="MZF488" s="97"/>
      <c r="MZG488" s="97"/>
      <c r="MZH488" s="97"/>
      <c r="MZI488" s="97"/>
      <c r="MZJ488" s="97"/>
      <c r="MZK488" s="97"/>
      <c r="MZL488" s="97"/>
      <c r="MZN488" s="94"/>
      <c r="MZO488" s="94"/>
      <c r="MZP488" s="95"/>
      <c r="MZQ488" s="96"/>
      <c r="MZR488" s="97"/>
      <c r="MZS488" s="97"/>
      <c r="MZT488" s="97"/>
      <c r="MZU488" s="97"/>
      <c r="MZV488" s="97"/>
      <c r="MZW488" s="97"/>
      <c r="MZX488" s="97"/>
      <c r="MZY488" s="97"/>
      <c r="NAA488" s="94"/>
      <c r="NAB488" s="94"/>
      <c r="NAC488" s="95"/>
      <c r="NAD488" s="96"/>
      <c r="NAE488" s="97"/>
      <c r="NAF488" s="97"/>
      <c r="NAG488" s="97"/>
      <c r="NAH488" s="97"/>
      <c r="NAI488" s="97"/>
      <c r="NAJ488" s="97"/>
      <c r="NAK488" s="97"/>
      <c r="NAL488" s="97"/>
      <c r="NAN488" s="94"/>
      <c r="NAO488" s="94"/>
      <c r="NAP488" s="95"/>
      <c r="NAQ488" s="96"/>
      <c r="NAR488" s="97"/>
      <c r="NAS488" s="97"/>
      <c r="NAT488" s="97"/>
      <c r="NAU488" s="97"/>
      <c r="NAV488" s="97"/>
      <c r="NAW488" s="97"/>
      <c r="NAX488" s="97"/>
      <c r="NAY488" s="97"/>
      <c r="NBA488" s="94"/>
      <c r="NBB488" s="94"/>
      <c r="NBC488" s="95"/>
      <c r="NBD488" s="96"/>
      <c r="NBE488" s="97"/>
      <c r="NBF488" s="97"/>
      <c r="NBG488" s="97"/>
      <c r="NBH488" s="97"/>
      <c r="NBI488" s="97"/>
      <c r="NBJ488" s="97"/>
      <c r="NBK488" s="97"/>
      <c r="NBL488" s="97"/>
      <c r="NBN488" s="94"/>
      <c r="NBO488" s="94"/>
      <c r="NBP488" s="95"/>
      <c r="NBQ488" s="96"/>
      <c r="NBR488" s="97"/>
      <c r="NBS488" s="97"/>
      <c r="NBT488" s="97"/>
      <c r="NBU488" s="97"/>
      <c r="NBV488" s="97"/>
      <c r="NBW488" s="97"/>
      <c r="NBX488" s="97"/>
      <c r="NBY488" s="97"/>
      <c r="NCA488" s="94"/>
      <c r="NCB488" s="94"/>
      <c r="NCC488" s="95"/>
      <c r="NCD488" s="96"/>
      <c r="NCE488" s="97"/>
      <c r="NCF488" s="97"/>
      <c r="NCG488" s="97"/>
      <c r="NCH488" s="97"/>
      <c r="NCI488" s="97"/>
      <c r="NCJ488" s="97"/>
      <c r="NCK488" s="97"/>
      <c r="NCL488" s="97"/>
      <c r="NCN488" s="94"/>
      <c r="NCO488" s="94"/>
      <c r="NCP488" s="95"/>
      <c r="NCQ488" s="96"/>
      <c r="NCR488" s="97"/>
      <c r="NCS488" s="97"/>
      <c r="NCT488" s="97"/>
      <c r="NCU488" s="97"/>
      <c r="NCV488" s="97"/>
      <c r="NCW488" s="97"/>
      <c r="NCX488" s="97"/>
      <c r="NCY488" s="97"/>
      <c r="NDA488" s="94"/>
      <c r="NDB488" s="94"/>
      <c r="NDC488" s="95"/>
      <c r="NDD488" s="96"/>
      <c r="NDE488" s="97"/>
      <c r="NDF488" s="97"/>
      <c r="NDG488" s="97"/>
      <c r="NDH488" s="97"/>
      <c r="NDI488" s="97"/>
      <c r="NDJ488" s="97"/>
      <c r="NDK488" s="97"/>
      <c r="NDL488" s="97"/>
      <c r="NDN488" s="94"/>
      <c r="NDO488" s="94"/>
      <c r="NDP488" s="95"/>
      <c r="NDQ488" s="96"/>
      <c r="NDR488" s="97"/>
      <c r="NDS488" s="97"/>
      <c r="NDT488" s="97"/>
      <c r="NDU488" s="97"/>
      <c r="NDV488" s="97"/>
      <c r="NDW488" s="97"/>
      <c r="NDX488" s="97"/>
      <c r="NDY488" s="97"/>
      <c r="NEA488" s="94"/>
      <c r="NEB488" s="94"/>
      <c r="NEC488" s="95"/>
      <c r="NED488" s="96"/>
      <c r="NEE488" s="97"/>
      <c r="NEF488" s="97"/>
      <c r="NEG488" s="97"/>
      <c r="NEH488" s="97"/>
      <c r="NEI488" s="97"/>
      <c r="NEJ488" s="97"/>
      <c r="NEK488" s="97"/>
      <c r="NEL488" s="97"/>
      <c r="NEN488" s="94"/>
      <c r="NEO488" s="94"/>
      <c r="NEP488" s="95"/>
      <c r="NEQ488" s="96"/>
      <c r="NER488" s="97"/>
      <c r="NES488" s="97"/>
      <c r="NET488" s="97"/>
      <c r="NEU488" s="97"/>
      <c r="NEV488" s="97"/>
      <c r="NEW488" s="97"/>
      <c r="NEX488" s="97"/>
      <c r="NEY488" s="97"/>
      <c r="NFA488" s="94"/>
      <c r="NFB488" s="94"/>
      <c r="NFC488" s="95"/>
      <c r="NFD488" s="96"/>
      <c r="NFE488" s="97"/>
      <c r="NFF488" s="97"/>
      <c r="NFG488" s="97"/>
      <c r="NFH488" s="97"/>
      <c r="NFI488" s="97"/>
      <c r="NFJ488" s="97"/>
      <c r="NFK488" s="97"/>
      <c r="NFL488" s="97"/>
      <c r="NFN488" s="94"/>
      <c r="NFO488" s="94"/>
      <c r="NFP488" s="95"/>
      <c r="NFQ488" s="96"/>
      <c r="NFR488" s="97"/>
      <c r="NFS488" s="97"/>
      <c r="NFT488" s="97"/>
      <c r="NFU488" s="97"/>
      <c r="NFV488" s="97"/>
      <c r="NFW488" s="97"/>
      <c r="NFX488" s="97"/>
      <c r="NFY488" s="97"/>
      <c r="NGA488" s="94"/>
      <c r="NGB488" s="94"/>
      <c r="NGC488" s="95"/>
      <c r="NGD488" s="96"/>
      <c r="NGE488" s="97"/>
      <c r="NGF488" s="97"/>
      <c r="NGG488" s="97"/>
      <c r="NGH488" s="97"/>
      <c r="NGI488" s="97"/>
      <c r="NGJ488" s="97"/>
      <c r="NGK488" s="97"/>
      <c r="NGL488" s="97"/>
      <c r="NGN488" s="94"/>
      <c r="NGO488" s="94"/>
      <c r="NGP488" s="95"/>
      <c r="NGQ488" s="96"/>
      <c r="NGR488" s="97"/>
      <c r="NGS488" s="97"/>
      <c r="NGT488" s="97"/>
      <c r="NGU488" s="97"/>
      <c r="NGV488" s="97"/>
      <c r="NGW488" s="97"/>
      <c r="NGX488" s="97"/>
      <c r="NGY488" s="97"/>
      <c r="NHA488" s="94"/>
      <c r="NHB488" s="94"/>
      <c r="NHC488" s="95"/>
      <c r="NHD488" s="96"/>
      <c r="NHE488" s="97"/>
      <c r="NHF488" s="97"/>
      <c r="NHG488" s="97"/>
      <c r="NHH488" s="97"/>
      <c r="NHI488" s="97"/>
      <c r="NHJ488" s="97"/>
      <c r="NHK488" s="97"/>
      <c r="NHL488" s="97"/>
      <c r="NHN488" s="94"/>
      <c r="NHO488" s="94"/>
      <c r="NHP488" s="95"/>
      <c r="NHQ488" s="96"/>
      <c r="NHR488" s="97"/>
      <c r="NHS488" s="97"/>
      <c r="NHT488" s="97"/>
      <c r="NHU488" s="97"/>
      <c r="NHV488" s="97"/>
      <c r="NHW488" s="97"/>
      <c r="NHX488" s="97"/>
      <c r="NHY488" s="97"/>
      <c r="NIA488" s="94"/>
      <c r="NIB488" s="94"/>
      <c r="NIC488" s="95"/>
      <c r="NID488" s="96"/>
      <c r="NIE488" s="97"/>
      <c r="NIF488" s="97"/>
      <c r="NIG488" s="97"/>
      <c r="NIH488" s="97"/>
      <c r="NII488" s="97"/>
      <c r="NIJ488" s="97"/>
      <c r="NIK488" s="97"/>
      <c r="NIL488" s="97"/>
      <c r="NIN488" s="94"/>
      <c r="NIO488" s="94"/>
      <c r="NIP488" s="95"/>
      <c r="NIQ488" s="96"/>
      <c r="NIR488" s="97"/>
      <c r="NIS488" s="97"/>
      <c r="NIT488" s="97"/>
      <c r="NIU488" s="97"/>
      <c r="NIV488" s="97"/>
      <c r="NIW488" s="97"/>
      <c r="NIX488" s="97"/>
      <c r="NIY488" s="97"/>
      <c r="NJA488" s="94"/>
      <c r="NJB488" s="94"/>
      <c r="NJC488" s="95"/>
      <c r="NJD488" s="96"/>
      <c r="NJE488" s="97"/>
      <c r="NJF488" s="97"/>
      <c r="NJG488" s="97"/>
      <c r="NJH488" s="97"/>
      <c r="NJI488" s="97"/>
      <c r="NJJ488" s="97"/>
      <c r="NJK488" s="97"/>
      <c r="NJL488" s="97"/>
      <c r="NJN488" s="94"/>
      <c r="NJO488" s="94"/>
      <c r="NJP488" s="95"/>
      <c r="NJQ488" s="96"/>
      <c r="NJR488" s="97"/>
      <c r="NJS488" s="97"/>
      <c r="NJT488" s="97"/>
      <c r="NJU488" s="97"/>
      <c r="NJV488" s="97"/>
      <c r="NJW488" s="97"/>
      <c r="NJX488" s="97"/>
      <c r="NJY488" s="97"/>
      <c r="NKA488" s="94"/>
      <c r="NKB488" s="94"/>
      <c r="NKC488" s="95"/>
      <c r="NKD488" s="96"/>
      <c r="NKE488" s="97"/>
      <c r="NKF488" s="97"/>
      <c r="NKG488" s="97"/>
      <c r="NKH488" s="97"/>
      <c r="NKI488" s="97"/>
      <c r="NKJ488" s="97"/>
      <c r="NKK488" s="97"/>
      <c r="NKL488" s="97"/>
      <c r="NKN488" s="94"/>
      <c r="NKO488" s="94"/>
      <c r="NKP488" s="95"/>
      <c r="NKQ488" s="96"/>
      <c r="NKR488" s="97"/>
      <c r="NKS488" s="97"/>
      <c r="NKT488" s="97"/>
      <c r="NKU488" s="97"/>
      <c r="NKV488" s="97"/>
      <c r="NKW488" s="97"/>
      <c r="NKX488" s="97"/>
      <c r="NKY488" s="97"/>
      <c r="NLA488" s="94"/>
      <c r="NLB488" s="94"/>
      <c r="NLC488" s="95"/>
      <c r="NLD488" s="96"/>
      <c r="NLE488" s="97"/>
      <c r="NLF488" s="97"/>
      <c r="NLG488" s="97"/>
      <c r="NLH488" s="97"/>
      <c r="NLI488" s="97"/>
      <c r="NLJ488" s="97"/>
      <c r="NLK488" s="97"/>
      <c r="NLL488" s="97"/>
      <c r="NLN488" s="94"/>
      <c r="NLO488" s="94"/>
      <c r="NLP488" s="95"/>
      <c r="NLQ488" s="96"/>
      <c r="NLR488" s="97"/>
      <c r="NLS488" s="97"/>
      <c r="NLT488" s="97"/>
      <c r="NLU488" s="97"/>
      <c r="NLV488" s="97"/>
      <c r="NLW488" s="97"/>
      <c r="NLX488" s="97"/>
      <c r="NLY488" s="97"/>
      <c r="NMA488" s="94"/>
      <c r="NMB488" s="94"/>
      <c r="NMC488" s="95"/>
      <c r="NMD488" s="96"/>
      <c r="NME488" s="97"/>
      <c r="NMF488" s="97"/>
      <c r="NMG488" s="97"/>
      <c r="NMH488" s="97"/>
      <c r="NMI488" s="97"/>
      <c r="NMJ488" s="97"/>
      <c r="NMK488" s="97"/>
      <c r="NML488" s="97"/>
      <c r="NMN488" s="94"/>
      <c r="NMO488" s="94"/>
      <c r="NMP488" s="95"/>
      <c r="NMQ488" s="96"/>
      <c r="NMR488" s="97"/>
      <c r="NMS488" s="97"/>
      <c r="NMT488" s="97"/>
      <c r="NMU488" s="97"/>
      <c r="NMV488" s="97"/>
      <c r="NMW488" s="97"/>
      <c r="NMX488" s="97"/>
      <c r="NMY488" s="97"/>
      <c r="NNA488" s="94"/>
      <c r="NNB488" s="94"/>
      <c r="NNC488" s="95"/>
      <c r="NND488" s="96"/>
      <c r="NNE488" s="97"/>
      <c r="NNF488" s="97"/>
      <c r="NNG488" s="97"/>
      <c r="NNH488" s="97"/>
      <c r="NNI488" s="97"/>
      <c r="NNJ488" s="97"/>
      <c r="NNK488" s="97"/>
      <c r="NNL488" s="97"/>
      <c r="NNN488" s="94"/>
      <c r="NNO488" s="94"/>
      <c r="NNP488" s="95"/>
      <c r="NNQ488" s="96"/>
      <c r="NNR488" s="97"/>
      <c r="NNS488" s="97"/>
      <c r="NNT488" s="97"/>
      <c r="NNU488" s="97"/>
      <c r="NNV488" s="97"/>
      <c r="NNW488" s="97"/>
      <c r="NNX488" s="97"/>
      <c r="NNY488" s="97"/>
      <c r="NOA488" s="94"/>
      <c r="NOB488" s="94"/>
      <c r="NOC488" s="95"/>
      <c r="NOD488" s="96"/>
      <c r="NOE488" s="97"/>
      <c r="NOF488" s="97"/>
      <c r="NOG488" s="97"/>
      <c r="NOH488" s="97"/>
      <c r="NOI488" s="97"/>
      <c r="NOJ488" s="97"/>
      <c r="NOK488" s="97"/>
      <c r="NOL488" s="97"/>
      <c r="NON488" s="94"/>
      <c r="NOO488" s="94"/>
      <c r="NOP488" s="95"/>
      <c r="NOQ488" s="96"/>
      <c r="NOR488" s="97"/>
      <c r="NOS488" s="97"/>
      <c r="NOT488" s="97"/>
      <c r="NOU488" s="97"/>
      <c r="NOV488" s="97"/>
      <c r="NOW488" s="97"/>
      <c r="NOX488" s="97"/>
      <c r="NOY488" s="97"/>
      <c r="NPA488" s="94"/>
      <c r="NPB488" s="94"/>
      <c r="NPC488" s="95"/>
      <c r="NPD488" s="96"/>
      <c r="NPE488" s="97"/>
      <c r="NPF488" s="97"/>
      <c r="NPG488" s="97"/>
      <c r="NPH488" s="97"/>
      <c r="NPI488" s="97"/>
      <c r="NPJ488" s="97"/>
      <c r="NPK488" s="97"/>
      <c r="NPL488" s="97"/>
      <c r="NPN488" s="94"/>
      <c r="NPO488" s="94"/>
      <c r="NPP488" s="95"/>
      <c r="NPQ488" s="96"/>
      <c r="NPR488" s="97"/>
      <c r="NPS488" s="97"/>
      <c r="NPT488" s="97"/>
      <c r="NPU488" s="97"/>
      <c r="NPV488" s="97"/>
      <c r="NPW488" s="97"/>
      <c r="NPX488" s="97"/>
      <c r="NPY488" s="97"/>
      <c r="NQA488" s="94"/>
      <c r="NQB488" s="94"/>
      <c r="NQC488" s="95"/>
      <c r="NQD488" s="96"/>
      <c r="NQE488" s="97"/>
      <c r="NQF488" s="97"/>
      <c r="NQG488" s="97"/>
      <c r="NQH488" s="97"/>
      <c r="NQI488" s="97"/>
      <c r="NQJ488" s="97"/>
      <c r="NQK488" s="97"/>
      <c r="NQL488" s="97"/>
      <c r="NQN488" s="94"/>
      <c r="NQO488" s="94"/>
      <c r="NQP488" s="95"/>
      <c r="NQQ488" s="96"/>
      <c r="NQR488" s="97"/>
      <c r="NQS488" s="97"/>
      <c r="NQT488" s="97"/>
      <c r="NQU488" s="97"/>
      <c r="NQV488" s="97"/>
      <c r="NQW488" s="97"/>
      <c r="NQX488" s="97"/>
      <c r="NQY488" s="97"/>
      <c r="NRA488" s="94"/>
      <c r="NRB488" s="94"/>
      <c r="NRC488" s="95"/>
      <c r="NRD488" s="96"/>
      <c r="NRE488" s="97"/>
      <c r="NRF488" s="97"/>
      <c r="NRG488" s="97"/>
      <c r="NRH488" s="97"/>
      <c r="NRI488" s="97"/>
      <c r="NRJ488" s="97"/>
      <c r="NRK488" s="97"/>
      <c r="NRL488" s="97"/>
      <c r="NRN488" s="94"/>
      <c r="NRO488" s="94"/>
      <c r="NRP488" s="95"/>
      <c r="NRQ488" s="96"/>
      <c r="NRR488" s="97"/>
      <c r="NRS488" s="97"/>
      <c r="NRT488" s="97"/>
      <c r="NRU488" s="97"/>
      <c r="NRV488" s="97"/>
      <c r="NRW488" s="97"/>
      <c r="NRX488" s="97"/>
      <c r="NRY488" s="97"/>
      <c r="NSA488" s="94"/>
      <c r="NSB488" s="94"/>
      <c r="NSC488" s="95"/>
      <c r="NSD488" s="96"/>
      <c r="NSE488" s="97"/>
      <c r="NSF488" s="97"/>
      <c r="NSG488" s="97"/>
      <c r="NSH488" s="97"/>
      <c r="NSI488" s="97"/>
      <c r="NSJ488" s="97"/>
      <c r="NSK488" s="97"/>
      <c r="NSL488" s="97"/>
      <c r="NSN488" s="94"/>
      <c r="NSO488" s="94"/>
      <c r="NSP488" s="95"/>
      <c r="NSQ488" s="96"/>
      <c r="NSR488" s="97"/>
      <c r="NSS488" s="97"/>
      <c r="NST488" s="97"/>
      <c r="NSU488" s="97"/>
      <c r="NSV488" s="97"/>
      <c r="NSW488" s="97"/>
      <c r="NSX488" s="97"/>
      <c r="NSY488" s="97"/>
      <c r="NTA488" s="94"/>
      <c r="NTB488" s="94"/>
      <c r="NTC488" s="95"/>
      <c r="NTD488" s="96"/>
      <c r="NTE488" s="97"/>
      <c r="NTF488" s="97"/>
      <c r="NTG488" s="97"/>
      <c r="NTH488" s="97"/>
      <c r="NTI488" s="97"/>
      <c r="NTJ488" s="97"/>
      <c r="NTK488" s="97"/>
      <c r="NTL488" s="97"/>
      <c r="NTN488" s="94"/>
      <c r="NTO488" s="94"/>
      <c r="NTP488" s="95"/>
      <c r="NTQ488" s="96"/>
      <c r="NTR488" s="97"/>
      <c r="NTS488" s="97"/>
      <c r="NTT488" s="97"/>
      <c r="NTU488" s="97"/>
      <c r="NTV488" s="97"/>
      <c r="NTW488" s="97"/>
      <c r="NTX488" s="97"/>
      <c r="NTY488" s="97"/>
      <c r="NUA488" s="94"/>
      <c r="NUB488" s="94"/>
      <c r="NUC488" s="95"/>
      <c r="NUD488" s="96"/>
      <c r="NUE488" s="97"/>
      <c r="NUF488" s="97"/>
      <c r="NUG488" s="97"/>
      <c r="NUH488" s="97"/>
      <c r="NUI488" s="97"/>
      <c r="NUJ488" s="97"/>
      <c r="NUK488" s="97"/>
      <c r="NUL488" s="97"/>
      <c r="NUN488" s="94"/>
      <c r="NUO488" s="94"/>
      <c r="NUP488" s="95"/>
      <c r="NUQ488" s="96"/>
      <c r="NUR488" s="97"/>
      <c r="NUS488" s="97"/>
      <c r="NUT488" s="97"/>
      <c r="NUU488" s="97"/>
      <c r="NUV488" s="97"/>
      <c r="NUW488" s="97"/>
      <c r="NUX488" s="97"/>
      <c r="NUY488" s="97"/>
      <c r="NVA488" s="94"/>
      <c r="NVB488" s="94"/>
      <c r="NVC488" s="95"/>
      <c r="NVD488" s="96"/>
      <c r="NVE488" s="97"/>
      <c r="NVF488" s="97"/>
      <c r="NVG488" s="97"/>
      <c r="NVH488" s="97"/>
      <c r="NVI488" s="97"/>
      <c r="NVJ488" s="97"/>
      <c r="NVK488" s="97"/>
      <c r="NVL488" s="97"/>
      <c r="NVN488" s="94"/>
      <c r="NVO488" s="94"/>
      <c r="NVP488" s="95"/>
      <c r="NVQ488" s="96"/>
      <c r="NVR488" s="97"/>
      <c r="NVS488" s="97"/>
      <c r="NVT488" s="97"/>
      <c r="NVU488" s="97"/>
      <c r="NVV488" s="97"/>
      <c r="NVW488" s="97"/>
      <c r="NVX488" s="97"/>
      <c r="NVY488" s="97"/>
      <c r="NWA488" s="94"/>
      <c r="NWB488" s="94"/>
      <c r="NWC488" s="95"/>
      <c r="NWD488" s="96"/>
      <c r="NWE488" s="97"/>
      <c r="NWF488" s="97"/>
      <c r="NWG488" s="97"/>
      <c r="NWH488" s="97"/>
      <c r="NWI488" s="97"/>
      <c r="NWJ488" s="97"/>
      <c r="NWK488" s="97"/>
      <c r="NWL488" s="97"/>
      <c r="NWN488" s="94"/>
      <c r="NWO488" s="94"/>
      <c r="NWP488" s="95"/>
      <c r="NWQ488" s="96"/>
      <c r="NWR488" s="97"/>
      <c r="NWS488" s="97"/>
      <c r="NWT488" s="97"/>
      <c r="NWU488" s="97"/>
      <c r="NWV488" s="97"/>
      <c r="NWW488" s="97"/>
      <c r="NWX488" s="97"/>
      <c r="NWY488" s="97"/>
      <c r="NXA488" s="94"/>
      <c r="NXB488" s="94"/>
      <c r="NXC488" s="95"/>
      <c r="NXD488" s="96"/>
      <c r="NXE488" s="97"/>
      <c r="NXF488" s="97"/>
      <c r="NXG488" s="97"/>
      <c r="NXH488" s="97"/>
      <c r="NXI488" s="97"/>
      <c r="NXJ488" s="97"/>
      <c r="NXK488" s="97"/>
      <c r="NXL488" s="97"/>
      <c r="NXN488" s="94"/>
      <c r="NXO488" s="94"/>
      <c r="NXP488" s="95"/>
      <c r="NXQ488" s="96"/>
      <c r="NXR488" s="97"/>
      <c r="NXS488" s="97"/>
      <c r="NXT488" s="97"/>
      <c r="NXU488" s="97"/>
      <c r="NXV488" s="97"/>
      <c r="NXW488" s="97"/>
      <c r="NXX488" s="97"/>
      <c r="NXY488" s="97"/>
      <c r="NYA488" s="94"/>
      <c r="NYB488" s="94"/>
      <c r="NYC488" s="95"/>
      <c r="NYD488" s="96"/>
      <c r="NYE488" s="97"/>
      <c r="NYF488" s="97"/>
      <c r="NYG488" s="97"/>
      <c r="NYH488" s="97"/>
      <c r="NYI488" s="97"/>
      <c r="NYJ488" s="97"/>
      <c r="NYK488" s="97"/>
      <c r="NYL488" s="97"/>
      <c r="NYN488" s="94"/>
      <c r="NYO488" s="94"/>
      <c r="NYP488" s="95"/>
      <c r="NYQ488" s="96"/>
      <c r="NYR488" s="97"/>
      <c r="NYS488" s="97"/>
      <c r="NYT488" s="97"/>
      <c r="NYU488" s="97"/>
      <c r="NYV488" s="97"/>
      <c r="NYW488" s="97"/>
      <c r="NYX488" s="97"/>
      <c r="NYY488" s="97"/>
      <c r="NZA488" s="94"/>
      <c r="NZB488" s="94"/>
      <c r="NZC488" s="95"/>
      <c r="NZD488" s="96"/>
      <c r="NZE488" s="97"/>
      <c r="NZF488" s="97"/>
      <c r="NZG488" s="97"/>
      <c r="NZH488" s="97"/>
      <c r="NZI488" s="97"/>
      <c r="NZJ488" s="97"/>
      <c r="NZK488" s="97"/>
      <c r="NZL488" s="97"/>
      <c r="NZN488" s="94"/>
      <c r="NZO488" s="94"/>
      <c r="NZP488" s="95"/>
      <c r="NZQ488" s="96"/>
      <c r="NZR488" s="97"/>
      <c r="NZS488" s="97"/>
      <c r="NZT488" s="97"/>
      <c r="NZU488" s="97"/>
      <c r="NZV488" s="97"/>
      <c r="NZW488" s="97"/>
      <c r="NZX488" s="97"/>
      <c r="NZY488" s="97"/>
      <c r="OAA488" s="94"/>
      <c r="OAB488" s="94"/>
      <c r="OAC488" s="95"/>
      <c r="OAD488" s="96"/>
      <c r="OAE488" s="97"/>
      <c r="OAF488" s="97"/>
      <c r="OAG488" s="97"/>
      <c r="OAH488" s="97"/>
      <c r="OAI488" s="97"/>
      <c r="OAJ488" s="97"/>
      <c r="OAK488" s="97"/>
      <c r="OAL488" s="97"/>
      <c r="OAN488" s="94"/>
      <c r="OAO488" s="94"/>
      <c r="OAP488" s="95"/>
      <c r="OAQ488" s="96"/>
      <c r="OAR488" s="97"/>
      <c r="OAS488" s="97"/>
      <c r="OAT488" s="97"/>
      <c r="OAU488" s="97"/>
      <c r="OAV488" s="97"/>
      <c r="OAW488" s="97"/>
      <c r="OAX488" s="97"/>
      <c r="OAY488" s="97"/>
      <c r="OBA488" s="94"/>
      <c r="OBB488" s="94"/>
      <c r="OBC488" s="95"/>
      <c r="OBD488" s="96"/>
      <c r="OBE488" s="97"/>
      <c r="OBF488" s="97"/>
      <c r="OBG488" s="97"/>
      <c r="OBH488" s="97"/>
      <c r="OBI488" s="97"/>
      <c r="OBJ488" s="97"/>
      <c r="OBK488" s="97"/>
      <c r="OBL488" s="97"/>
      <c r="OBN488" s="94"/>
      <c r="OBO488" s="94"/>
      <c r="OBP488" s="95"/>
      <c r="OBQ488" s="96"/>
      <c r="OBR488" s="97"/>
      <c r="OBS488" s="97"/>
      <c r="OBT488" s="97"/>
      <c r="OBU488" s="97"/>
      <c r="OBV488" s="97"/>
      <c r="OBW488" s="97"/>
      <c r="OBX488" s="97"/>
      <c r="OBY488" s="97"/>
      <c r="OCA488" s="94"/>
      <c r="OCB488" s="94"/>
      <c r="OCC488" s="95"/>
      <c r="OCD488" s="96"/>
      <c r="OCE488" s="97"/>
      <c r="OCF488" s="97"/>
      <c r="OCG488" s="97"/>
      <c r="OCH488" s="97"/>
      <c r="OCI488" s="97"/>
      <c r="OCJ488" s="97"/>
      <c r="OCK488" s="97"/>
      <c r="OCL488" s="97"/>
      <c r="OCN488" s="94"/>
      <c r="OCO488" s="94"/>
      <c r="OCP488" s="95"/>
      <c r="OCQ488" s="96"/>
      <c r="OCR488" s="97"/>
      <c r="OCS488" s="97"/>
      <c r="OCT488" s="97"/>
      <c r="OCU488" s="97"/>
      <c r="OCV488" s="97"/>
      <c r="OCW488" s="97"/>
      <c r="OCX488" s="97"/>
      <c r="OCY488" s="97"/>
      <c r="ODA488" s="94"/>
      <c r="ODB488" s="94"/>
      <c r="ODC488" s="95"/>
      <c r="ODD488" s="96"/>
      <c r="ODE488" s="97"/>
      <c r="ODF488" s="97"/>
      <c r="ODG488" s="97"/>
      <c r="ODH488" s="97"/>
      <c r="ODI488" s="97"/>
      <c r="ODJ488" s="97"/>
      <c r="ODK488" s="97"/>
      <c r="ODL488" s="97"/>
      <c r="ODN488" s="94"/>
      <c r="ODO488" s="94"/>
      <c r="ODP488" s="95"/>
      <c r="ODQ488" s="96"/>
      <c r="ODR488" s="97"/>
      <c r="ODS488" s="97"/>
      <c r="ODT488" s="97"/>
      <c r="ODU488" s="97"/>
      <c r="ODV488" s="97"/>
      <c r="ODW488" s="97"/>
      <c r="ODX488" s="97"/>
      <c r="ODY488" s="97"/>
      <c r="OEA488" s="94"/>
      <c r="OEB488" s="94"/>
      <c r="OEC488" s="95"/>
      <c r="OED488" s="96"/>
      <c r="OEE488" s="97"/>
      <c r="OEF488" s="97"/>
      <c r="OEG488" s="97"/>
      <c r="OEH488" s="97"/>
      <c r="OEI488" s="97"/>
      <c r="OEJ488" s="97"/>
      <c r="OEK488" s="97"/>
      <c r="OEL488" s="97"/>
      <c r="OEN488" s="94"/>
      <c r="OEO488" s="94"/>
      <c r="OEP488" s="95"/>
      <c r="OEQ488" s="96"/>
      <c r="OER488" s="97"/>
      <c r="OES488" s="97"/>
      <c r="OET488" s="97"/>
      <c r="OEU488" s="97"/>
      <c r="OEV488" s="97"/>
      <c r="OEW488" s="97"/>
      <c r="OEX488" s="97"/>
      <c r="OEY488" s="97"/>
      <c r="OFA488" s="94"/>
      <c r="OFB488" s="94"/>
      <c r="OFC488" s="95"/>
      <c r="OFD488" s="96"/>
      <c r="OFE488" s="97"/>
      <c r="OFF488" s="97"/>
      <c r="OFG488" s="97"/>
      <c r="OFH488" s="97"/>
      <c r="OFI488" s="97"/>
      <c r="OFJ488" s="97"/>
      <c r="OFK488" s="97"/>
      <c r="OFL488" s="97"/>
      <c r="OFN488" s="94"/>
      <c r="OFO488" s="94"/>
      <c r="OFP488" s="95"/>
      <c r="OFQ488" s="96"/>
      <c r="OFR488" s="97"/>
      <c r="OFS488" s="97"/>
      <c r="OFT488" s="97"/>
      <c r="OFU488" s="97"/>
      <c r="OFV488" s="97"/>
      <c r="OFW488" s="97"/>
      <c r="OFX488" s="97"/>
      <c r="OFY488" s="97"/>
      <c r="OGA488" s="94"/>
      <c r="OGB488" s="94"/>
      <c r="OGC488" s="95"/>
      <c r="OGD488" s="96"/>
      <c r="OGE488" s="97"/>
      <c r="OGF488" s="97"/>
      <c r="OGG488" s="97"/>
      <c r="OGH488" s="97"/>
      <c r="OGI488" s="97"/>
      <c r="OGJ488" s="97"/>
      <c r="OGK488" s="97"/>
      <c r="OGL488" s="97"/>
      <c r="OGN488" s="94"/>
      <c r="OGO488" s="94"/>
      <c r="OGP488" s="95"/>
      <c r="OGQ488" s="96"/>
      <c r="OGR488" s="97"/>
      <c r="OGS488" s="97"/>
      <c r="OGT488" s="97"/>
      <c r="OGU488" s="97"/>
      <c r="OGV488" s="97"/>
      <c r="OGW488" s="97"/>
      <c r="OGX488" s="97"/>
      <c r="OGY488" s="97"/>
      <c r="OHA488" s="94"/>
      <c r="OHB488" s="94"/>
      <c r="OHC488" s="95"/>
      <c r="OHD488" s="96"/>
      <c r="OHE488" s="97"/>
      <c r="OHF488" s="97"/>
      <c r="OHG488" s="97"/>
      <c r="OHH488" s="97"/>
      <c r="OHI488" s="97"/>
      <c r="OHJ488" s="97"/>
      <c r="OHK488" s="97"/>
      <c r="OHL488" s="97"/>
      <c r="OHN488" s="94"/>
      <c r="OHO488" s="94"/>
      <c r="OHP488" s="95"/>
      <c r="OHQ488" s="96"/>
      <c r="OHR488" s="97"/>
      <c r="OHS488" s="97"/>
      <c r="OHT488" s="97"/>
      <c r="OHU488" s="97"/>
      <c r="OHV488" s="97"/>
      <c r="OHW488" s="97"/>
      <c r="OHX488" s="97"/>
      <c r="OHY488" s="97"/>
      <c r="OIA488" s="94"/>
      <c r="OIB488" s="94"/>
      <c r="OIC488" s="95"/>
      <c r="OID488" s="96"/>
      <c r="OIE488" s="97"/>
      <c r="OIF488" s="97"/>
      <c r="OIG488" s="97"/>
      <c r="OIH488" s="97"/>
      <c r="OII488" s="97"/>
      <c r="OIJ488" s="97"/>
      <c r="OIK488" s="97"/>
      <c r="OIL488" s="97"/>
      <c r="OIN488" s="94"/>
      <c r="OIO488" s="94"/>
      <c r="OIP488" s="95"/>
      <c r="OIQ488" s="96"/>
      <c r="OIR488" s="97"/>
      <c r="OIS488" s="97"/>
      <c r="OIT488" s="97"/>
      <c r="OIU488" s="97"/>
      <c r="OIV488" s="97"/>
      <c r="OIW488" s="97"/>
      <c r="OIX488" s="97"/>
      <c r="OIY488" s="97"/>
      <c r="OJA488" s="94"/>
      <c r="OJB488" s="94"/>
      <c r="OJC488" s="95"/>
      <c r="OJD488" s="96"/>
      <c r="OJE488" s="97"/>
      <c r="OJF488" s="97"/>
      <c r="OJG488" s="97"/>
      <c r="OJH488" s="97"/>
      <c r="OJI488" s="97"/>
      <c r="OJJ488" s="97"/>
      <c r="OJK488" s="97"/>
      <c r="OJL488" s="97"/>
      <c r="OJN488" s="94"/>
      <c r="OJO488" s="94"/>
      <c r="OJP488" s="95"/>
      <c r="OJQ488" s="96"/>
      <c r="OJR488" s="97"/>
      <c r="OJS488" s="97"/>
      <c r="OJT488" s="97"/>
      <c r="OJU488" s="97"/>
      <c r="OJV488" s="97"/>
      <c r="OJW488" s="97"/>
      <c r="OJX488" s="97"/>
      <c r="OJY488" s="97"/>
      <c r="OKA488" s="94"/>
      <c r="OKB488" s="94"/>
      <c r="OKC488" s="95"/>
      <c r="OKD488" s="96"/>
      <c r="OKE488" s="97"/>
      <c r="OKF488" s="97"/>
      <c r="OKG488" s="97"/>
      <c r="OKH488" s="97"/>
      <c r="OKI488" s="97"/>
      <c r="OKJ488" s="97"/>
      <c r="OKK488" s="97"/>
      <c r="OKL488" s="97"/>
      <c r="OKN488" s="94"/>
      <c r="OKO488" s="94"/>
      <c r="OKP488" s="95"/>
      <c r="OKQ488" s="96"/>
      <c r="OKR488" s="97"/>
      <c r="OKS488" s="97"/>
      <c r="OKT488" s="97"/>
      <c r="OKU488" s="97"/>
      <c r="OKV488" s="97"/>
      <c r="OKW488" s="97"/>
      <c r="OKX488" s="97"/>
      <c r="OKY488" s="97"/>
      <c r="OLA488" s="94"/>
      <c r="OLB488" s="94"/>
      <c r="OLC488" s="95"/>
      <c r="OLD488" s="96"/>
      <c r="OLE488" s="97"/>
      <c r="OLF488" s="97"/>
      <c r="OLG488" s="97"/>
      <c r="OLH488" s="97"/>
      <c r="OLI488" s="97"/>
      <c r="OLJ488" s="97"/>
      <c r="OLK488" s="97"/>
      <c r="OLL488" s="97"/>
      <c r="OLN488" s="94"/>
      <c r="OLO488" s="94"/>
      <c r="OLP488" s="95"/>
      <c r="OLQ488" s="96"/>
      <c r="OLR488" s="97"/>
      <c r="OLS488" s="97"/>
      <c r="OLT488" s="97"/>
      <c r="OLU488" s="97"/>
      <c r="OLV488" s="97"/>
      <c r="OLW488" s="97"/>
      <c r="OLX488" s="97"/>
      <c r="OLY488" s="97"/>
      <c r="OMA488" s="94"/>
      <c r="OMB488" s="94"/>
      <c r="OMC488" s="95"/>
      <c r="OMD488" s="96"/>
      <c r="OME488" s="97"/>
      <c r="OMF488" s="97"/>
      <c r="OMG488" s="97"/>
      <c r="OMH488" s="97"/>
      <c r="OMI488" s="97"/>
      <c r="OMJ488" s="97"/>
      <c r="OMK488" s="97"/>
      <c r="OML488" s="97"/>
      <c r="OMN488" s="94"/>
      <c r="OMO488" s="94"/>
      <c r="OMP488" s="95"/>
      <c r="OMQ488" s="96"/>
      <c r="OMR488" s="97"/>
      <c r="OMS488" s="97"/>
      <c r="OMT488" s="97"/>
      <c r="OMU488" s="97"/>
      <c r="OMV488" s="97"/>
      <c r="OMW488" s="97"/>
      <c r="OMX488" s="97"/>
      <c r="OMY488" s="97"/>
      <c r="ONA488" s="94"/>
      <c r="ONB488" s="94"/>
      <c r="ONC488" s="95"/>
      <c r="OND488" s="96"/>
      <c r="ONE488" s="97"/>
      <c r="ONF488" s="97"/>
      <c r="ONG488" s="97"/>
      <c r="ONH488" s="97"/>
      <c r="ONI488" s="97"/>
      <c r="ONJ488" s="97"/>
      <c r="ONK488" s="97"/>
      <c r="ONL488" s="97"/>
      <c r="ONN488" s="94"/>
      <c r="ONO488" s="94"/>
      <c r="ONP488" s="95"/>
      <c r="ONQ488" s="96"/>
      <c r="ONR488" s="97"/>
      <c r="ONS488" s="97"/>
      <c r="ONT488" s="97"/>
      <c r="ONU488" s="97"/>
      <c r="ONV488" s="97"/>
      <c r="ONW488" s="97"/>
      <c r="ONX488" s="97"/>
      <c r="ONY488" s="97"/>
      <c r="OOA488" s="94"/>
      <c r="OOB488" s="94"/>
      <c r="OOC488" s="95"/>
      <c r="OOD488" s="96"/>
      <c r="OOE488" s="97"/>
      <c r="OOF488" s="97"/>
      <c r="OOG488" s="97"/>
      <c r="OOH488" s="97"/>
      <c r="OOI488" s="97"/>
      <c r="OOJ488" s="97"/>
      <c r="OOK488" s="97"/>
      <c r="OOL488" s="97"/>
      <c r="OON488" s="94"/>
      <c r="OOO488" s="94"/>
      <c r="OOP488" s="95"/>
      <c r="OOQ488" s="96"/>
      <c r="OOR488" s="97"/>
      <c r="OOS488" s="97"/>
      <c r="OOT488" s="97"/>
      <c r="OOU488" s="97"/>
      <c r="OOV488" s="97"/>
      <c r="OOW488" s="97"/>
      <c r="OOX488" s="97"/>
      <c r="OOY488" s="97"/>
      <c r="OPA488" s="94"/>
      <c r="OPB488" s="94"/>
      <c r="OPC488" s="95"/>
      <c r="OPD488" s="96"/>
      <c r="OPE488" s="97"/>
      <c r="OPF488" s="97"/>
      <c r="OPG488" s="97"/>
      <c r="OPH488" s="97"/>
      <c r="OPI488" s="97"/>
      <c r="OPJ488" s="97"/>
      <c r="OPK488" s="97"/>
      <c r="OPL488" s="97"/>
      <c r="OPN488" s="94"/>
      <c r="OPO488" s="94"/>
      <c r="OPP488" s="95"/>
      <c r="OPQ488" s="96"/>
      <c r="OPR488" s="97"/>
      <c r="OPS488" s="97"/>
      <c r="OPT488" s="97"/>
      <c r="OPU488" s="97"/>
      <c r="OPV488" s="97"/>
      <c r="OPW488" s="97"/>
      <c r="OPX488" s="97"/>
      <c r="OPY488" s="97"/>
      <c r="OQA488" s="94"/>
      <c r="OQB488" s="94"/>
      <c r="OQC488" s="95"/>
      <c r="OQD488" s="96"/>
      <c r="OQE488" s="97"/>
      <c r="OQF488" s="97"/>
      <c r="OQG488" s="97"/>
      <c r="OQH488" s="97"/>
      <c r="OQI488" s="97"/>
      <c r="OQJ488" s="97"/>
      <c r="OQK488" s="97"/>
      <c r="OQL488" s="97"/>
      <c r="OQN488" s="94"/>
      <c r="OQO488" s="94"/>
      <c r="OQP488" s="95"/>
      <c r="OQQ488" s="96"/>
      <c r="OQR488" s="97"/>
      <c r="OQS488" s="97"/>
      <c r="OQT488" s="97"/>
      <c r="OQU488" s="97"/>
      <c r="OQV488" s="97"/>
      <c r="OQW488" s="97"/>
      <c r="OQX488" s="97"/>
      <c r="OQY488" s="97"/>
      <c r="ORA488" s="94"/>
      <c r="ORB488" s="94"/>
      <c r="ORC488" s="95"/>
      <c r="ORD488" s="96"/>
      <c r="ORE488" s="97"/>
      <c r="ORF488" s="97"/>
      <c r="ORG488" s="97"/>
      <c r="ORH488" s="97"/>
      <c r="ORI488" s="97"/>
      <c r="ORJ488" s="97"/>
      <c r="ORK488" s="97"/>
      <c r="ORL488" s="97"/>
      <c r="ORN488" s="94"/>
      <c r="ORO488" s="94"/>
      <c r="ORP488" s="95"/>
      <c r="ORQ488" s="96"/>
      <c r="ORR488" s="97"/>
      <c r="ORS488" s="97"/>
      <c r="ORT488" s="97"/>
      <c r="ORU488" s="97"/>
      <c r="ORV488" s="97"/>
      <c r="ORW488" s="97"/>
      <c r="ORX488" s="97"/>
      <c r="ORY488" s="97"/>
      <c r="OSA488" s="94"/>
      <c r="OSB488" s="94"/>
      <c r="OSC488" s="95"/>
      <c r="OSD488" s="96"/>
      <c r="OSE488" s="97"/>
      <c r="OSF488" s="97"/>
      <c r="OSG488" s="97"/>
      <c r="OSH488" s="97"/>
      <c r="OSI488" s="97"/>
      <c r="OSJ488" s="97"/>
      <c r="OSK488" s="97"/>
      <c r="OSL488" s="97"/>
      <c r="OSN488" s="94"/>
      <c r="OSO488" s="94"/>
      <c r="OSP488" s="95"/>
      <c r="OSQ488" s="96"/>
      <c r="OSR488" s="97"/>
      <c r="OSS488" s="97"/>
      <c r="OST488" s="97"/>
      <c r="OSU488" s="97"/>
      <c r="OSV488" s="97"/>
      <c r="OSW488" s="97"/>
      <c r="OSX488" s="97"/>
      <c r="OSY488" s="97"/>
      <c r="OTA488" s="94"/>
      <c r="OTB488" s="94"/>
      <c r="OTC488" s="95"/>
      <c r="OTD488" s="96"/>
      <c r="OTE488" s="97"/>
      <c r="OTF488" s="97"/>
      <c r="OTG488" s="97"/>
      <c r="OTH488" s="97"/>
      <c r="OTI488" s="97"/>
      <c r="OTJ488" s="97"/>
      <c r="OTK488" s="97"/>
      <c r="OTL488" s="97"/>
      <c r="OTN488" s="94"/>
      <c r="OTO488" s="94"/>
      <c r="OTP488" s="95"/>
      <c r="OTQ488" s="96"/>
      <c r="OTR488" s="97"/>
      <c r="OTS488" s="97"/>
      <c r="OTT488" s="97"/>
      <c r="OTU488" s="97"/>
      <c r="OTV488" s="97"/>
      <c r="OTW488" s="97"/>
      <c r="OTX488" s="97"/>
      <c r="OTY488" s="97"/>
      <c r="OUA488" s="94"/>
      <c r="OUB488" s="94"/>
      <c r="OUC488" s="95"/>
      <c r="OUD488" s="96"/>
      <c r="OUE488" s="97"/>
      <c r="OUF488" s="97"/>
      <c r="OUG488" s="97"/>
      <c r="OUH488" s="97"/>
      <c r="OUI488" s="97"/>
      <c r="OUJ488" s="97"/>
      <c r="OUK488" s="97"/>
      <c r="OUL488" s="97"/>
      <c r="OUN488" s="94"/>
      <c r="OUO488" s="94"/>
      <c r="OUP488" s="95"/>
      <c r="OUQ488" s="96"/>
      <c r="OUR488" s="97"/>
      <c r="OUS488" s="97"/>
      <c r="OUT488" s="97"/>
      <c r="OUU488" s="97"/>
      <c r="OUV488" s="97"/>
      <c r="OUW488" s="97"/>
      <c r="OUX488" s="97"/>
      <c r="OUY488" s="97"/>
      <c r="OVA488" s="94"/>
      <c r="OVB488" s="94"/>
      <c r="OVC488" s="95"/>
      <c r="OVD488" s="96"/>
      <c r="OVE488" s="97"/>
      <c r="OVF488" s="97"/>
      <c r="OVG488" s="97"/>
      <c r="OVH488" s="97"/>
      <c r="OVI488" s="97"/>
      <c r="OVJ488" s="97"/>
      <c r="OVK488" s="97"/>
      <c r="OVL488" s="97"/>
      <c r="OVN488" s="94"/>
      <c r="OVO488" s="94"/>
      <c r="OVP488" s="95"/>
      <c r="OVQ488" s="96"/>
      <c r="OVR488" s="97"/>
      <c r="OVS488" s="97"/>
      <c r="OVT488" s="97"/>
      <c r="OVU488" s="97"/>
      <c r="OVV488" s="97"/>
      <c r="OVW488" s="97"/>
      <c r="OVX488" s="97"/>
      <c r="OVY488" s="97"/>
      <c r="OWA488" s="94"/>
      <c r="OWB488" s="94"/>
      <c r="OWC488" s="95"/>
      <c r="OWD488" s="96"/>
      <c r="OWE488" s="97"/>
      <c r="OWF488" s="97"/>
      <c r="OWG488" s="97"/>
      <c r="OWH488" s="97"/>
      <c r="OWI488" s="97"/>
      <c r="OWJ488" s="97"/>
      <c r="OWK488" s="97"/>
      <c r="OWL488" s="97"/>
      <c r="OWN488" s="94"/>
      <c r="OWO488" s="94"/>
      <c r="OWP488" s="95"/>
      <c r="OWQ488" s="96"/>
      <c r="OWR488" s="97"/>
      <c r="OWS488" s="97"/>
      <c r="OWT488" s="97"/>
      <c r="OWU488" s="97"/>
      <c r="OWV488" s="97"/>
      <c r="OWW488" s="97"/>
      <c r="OWX488" s="97"/>
      <c r="OWY488" s="97"/>
      <c r="OXA488" s="94"/>
      <c r="OXB488" s="94"/>
      <c r="OXC488" s="95"/>
      <c r="OXD488" s="96"/>
      <c r="OXE488" s="97"/>
      <c r="OXF488" s="97"/>
      <c r="OXG488" s="97"/>
      <c r="OXH488" s="97"/>
      <c r="OXI488" s="97"/>
      <c r="OXJ488" s="97"/>
      <c r="OXK488" s="97"/>
      <c r="OXL488" s="97"/>
      <c r="OXN488" s="94"/>
      <c r="OXO488" s="94"/>
      <c r="OXP488" s="95"/>
      <c r="OXQ488" s="96"/>
      <c r="OXR488" s="97"/>
      <c r="OXS488" s="97"/>
      <c r="OXT488" s="97"/>
      <c r="OXU488" s="97"/>
      <c r="OXV488" s="97"/>
      <c r="OXW488" s="97"/>
      <c r="OXX488" s="97"/>
      <c r="OXY488" s="97"/>
      <c r="OYA488" s="94"/>
      <c r="OYB488" s="94"/>
      <c r="OYC488" s="95"/>
      <c r="OYD488" s="96"/>
      <c r="OYE488" s="97"/>
      <c r="OYF488" s="97"/>
      <c r="OYG488" s="97"/>
      <c r="OYH488" s="97"/>
      <c r="OYI488" s="97"/>
      <c r="OYJ488" s="97"/>
      <c r="OYK488" s="97"/>
      <c r="OYL488" s="97"/>
      <c r="OYN488" s="94"/>
      <c r="OYO488" s="94"/>
      <c r="OYP488" s="95"/>
      <c r="OYQ488" s="96"/>
      <c r="OYR488" s="97"/>
      <c r="OYS488" s="97"/>
      <c r="OYT488" s="97"/>
      <c r="OYU488" s="97"/>
      <c r="OYV488" s="97"/>
      <c r="OYW488" s="97"/>
      <c r="OYX488" s="97"/>
      <c r="OYY488" s="97"/>
      <c r="OZA488" s="94"/>
      <c r="OZB488" s="94"/>
      <c r="OZC488" s="95"/>
      <c r="OZD488" s="96"/>
      <c r="OZE488" s="97"/>
      <c r="OZF488" s="97"/>
      <c r="OZG488" s="97"/>
      <c r="OZH488" s="97"/>
      <c r="OZI488" s="97"/>
      <c r="OZJ488" s="97"/>
      <c r="OZK488" s="97"/>
      <c r="OZL488" s="97"/>
      <c r="OZN488" s="94"/>
      <c r="OZO488" s="94"/>
      <c r="OZP488" s="95"/>
      <c r="OZQ488" s="96"/>
      <c r="OZR488" s="97"/>
      <c r="OZS488" s="97"/>
      <c r="OZT488" s="97"/>
      <c r="OZU488" s="97"/>
      <c r="OZV488" s="97"/>
      <c r="OZW488" s="97"/>
      <c r="OZX488" s="97"/>
      <c r="OZY488" s="97"/>
      <c r="PAA488" s="94"/>
      <c r="PAB488" s="94"/>
      <c r="PAC488" s="95"/>
      <c r="PAD488" s="96"/>
      <c r="PAE488" s="97"/>
      <c r="PAF488" s="97"/>
      <c r="PAG488" s="97"/>
      <c r="PAH488" s="97"/>
      <c r="PAI488" s="97"/>
      <c r="PAJ488" s="97"/>
      <c r="PAK488" s="97"/>
      <c r="PAL488" s="97"/>
      <c r="PAN488" s="94"/>
      <c r="PAO488" s="94"/>
      <c r="PAP488" s="95"/>
      <c r="PAQ488" s="96"/>
      <c r="PAR488" s="97"/>
      <c r="PAS488" s="97"/>
      <c r="PAT488" s="97"/>
      <c r="PAU488" s="97"/>
      <c r="PAV488" s="97"/>
      <c r="PAW488" s="97"/>
      <c r="PAX488" s="97"/>
      <c r="PAY488" s="97"/>
      <c r="PBA488" s="94"/>
      <c r="PBB488" s="94"/>
      <c r="PBC488" s="95"/>
      <c r="PBD488" s="96"/>
      <c r="PBE488" s="97"/>
      <c r="PBF488" s="97"/>
      <c r="PBG488" s="97"/>
      <c r="PBH488" s="97"/>
      <c r="PBI488" s="97"/>
      <c r="PBJ488" s="97"/>
      <c r="PBK488" s="97"/>
      <c r="PBL488" s="97"/>
      <c r="PBN488" s="94"/>
      <c r="PBO488" s="94"/>
      <c r="PBP488" s="95"/>
      <c r="PBQ488" s="96"/>
      <c r="PBR488" s="97"/>
      <c r="PBS488" s="97"/>
      <c r="PBT488" s="97"/>
      <c r="PBU488" s="97"/>
      <c r="PBV488" s="97"/>
      <c r="PBW488" s="97"/>
      <c r="PBX488" s="97"/>
      <c r="PBY488" s="97"/>
      <c r="PCA488" s="94"/>
      <c r="PCB488" s="94"/>
      <c r="PCC488" s="95"/>
      <c r="PCD488" s="96"/>
      <c r="PCE488" s="97"/>
      <c r="PCF488" s="97"/>
      <c r="PCG488" s="97"/>
      <c r="PCH488" s="97"/>
      <c r="PCI488" s="97"/>
      <c r="PCJ488" s="97"/>
      <c r="PCK488" s="97"/>
      <c r="PCL488" s="97"/>
      <c r="PCN488" s="94"/>
      <c r="PCO488" s="94"/>
      <c r="PCP488" s="95"/>
      <c r="PCQ488" s="96"/>
      <c r="PCR488" s="97"/>
      <c r="PCS488" s="97"/>
      <c r="PCT488" s="97"/>
      <c r="PCU488" s="97"/>
      <c r="PCV488" s="97"/>
      <c r="PCW488" s="97"/>
      <c r="PCX488" s="97"/>
      <c r="PCY488" s="97"/>
      <c r="PDA488" s="94"/>
      <c r="PDB488" s="94"/>
      <c r="PDC488" s="95"/>
      <c r="PDD488" s="96"/>
      <c r="PDE488" s="97"/>
      <c r="PDF488" s="97"/>
      <c r="PDG488" s="97"/>
      <c r="PDH488" s="97"/>
      <c r="PDI488" s="97"/>
      <c r="PDJ488" s="97"/>
      <c r="PDK488" s="97"/>
      <c r="PDL488" s="97"/>
      <c r="PDN488" s="94"/>
      <c r="PDO488" s="94"/>
      <c r="PDP488" s="95"/>
      <c r="PDQ488" s="96"/>
      <c r="PDR488" s="97"/>
      <c r="PDS488" s="97"/>
      <c r="PDT488" s="97"/>
      <c r="PDU488" s="97"/>
      <c r="PDV488" s="97"/>
      <c r="PDW488" s="97"/>
      <c r="PDX488" s="97"/>
      <c r="PDY488" s="97"/>
      <c r="PEA488" s="94"/>
      <c r="PEB488" s="94"/>
      <c r="PEC488" s="95"/>
      <c r="PED488" s="96"/>
      <c r="PEE488" s="97"/>
      <c r="PEF488" s="97"/>
      <c r="PEG488" s="97"/>
      <c r="PEH488" s="97"/>
      <c r="PEI488" s="97"/>
      <c r="PEJ488" s="97"/>
      <c r="PEK488" s="97"/>
      <c r="PEL488" s="97"/>
      <c r="PEN488" s="94"/>
      <c r="PEO488" s="94"/>
      <c r="PEP488" s="95"/>
      <c r="PEQ488" s="96"/>
      <c r="PER488" s="97"/>
      <c r="PES488" s="97"/>
      <c r="PET488" s="97"/>
      <c r="PEU488" s="97"/>
      <c r="PEV488" s="97"/>
      <c r="PEW488" s="97"/>
      <c r="PEX488" s="97"/>
      <c r="PEY488" s="97"/>
      <c r="PFA488" s="94"/>
      <c r="PFB488" s="94"/>
      <c r="PFC488" s="95"/>
      <c r="PFD488" s="96"/>
      <c r="PFE488" s="97"/>
      <c r="PFF488" s="97"/>
      <c r="PFG488" s="97"/>
      <c r="PFH488" s="97"/>
      <c r="PFI488" s="97"/>
      <c r="PFJ488" s="97"/>
      <c r="PFK488" s="97"/>
      <c r="PFL488" s="97"/>
      <c r="PFN488" s="94"/>
      <c r="PFO488" s="94"/>
      <c r="PFP488" s="95"/>
      <c r="PFQ488" s="96"/>
      <c r="PFR488" s="97"/>
      <c r="PFS488" s="97"/>
      <c r="PFT488" s="97"/>
      <c r="PFU488" s="97"/>
      <c r="PFV488" s="97"/>
      <c r="PFW488" s="97"/>
      <c r="PFX488" s="97"/>
      <c r="PFY488" s="97"/>
      <c r="PGA488" s="94"/>
      <c r="PGB488" s="94"/>
      <c r="PGC488" s="95"/>
      <c r="PGD488" s="96"/>
      <c r="PGE488" s="97"/>
      <c r="PGF488" s="97"/>
      <c r="PGG488" s="97"/>
      <c r="PGH488" s="97"/>
      <c r="PGI488" s="97"/>
      <c r="PGJ488" s="97"/>
      <c r="PGK488" s="97"/>
      <c r="PGL488" s="97"/>
      <c r="PGN488" s="94"/>
      <c r="PGO488" s="94"/>
      <c r="PGP488" s="95"/>
      <c r="PGQ488" s="96"/>
      <c r="PGR488" s="97"/>
      <c r="PGS488" s="97"/>
      <c r="PGT488" s="97"/>
      <c r="PGU488" s="97"/>
      <c r="PGV488" s="97"/>
      <c r="PGW488" s="97"/>
      <c r="PGX488" s="97"/>
      <c r="PGY488" s="97"/>
      <c r="PHA488" s="94"/>
      <c r="PHB488" s="94"/>
      <c r="PHC488" s="95"/>
      <c r="PHD488" s="96"/>
      <c r="PHE488" s="97"/>
      <c r="PHF488" s="97"/>
      <c r="PHG488" s="97"/>
      <c r="PHH488" s="97"/>
      <c r="PHI488" s="97"/>
      <c r="PHJ488" s="97"/>
      <c r="PHK488" s="97"/>
      <c r="PHL488" s="97"/>
      <c r="PHN488" s="94"/>
      <c r="PHO488" s="94"/>
      <c r="PHP488" s="95"/>
      <c r="PHQ488" s="96"/>
      <c r="PHR488" s="97"/>
      <c r="PHS488" s="97"/>
      <c r="PHT488" s="97"/>
      <c r="PHU488" s="97"/>
      <c r="PHV488" s="97"/>
      <c r="PHW488" s="97"/>
      <c r="PHX488" s="97"/>
      <c r="PHY488" s="97"/>
      <c r="PIA488" s="94"/>
      <c r="PIB488" s="94"/>
      <c r="PIC488" s="95"/>
      <c r="PID488" s="96"/>
      <c r="PIE488" s="97"/>
      <c r="PIF488" s="97"/>
      <c r="PIG488" s="97"/>
      <c r="PIH488" s="97"/>
      <c r="PII488" s="97"/>
      <c r="PIJ488" s="97"/>
      <c r="PIK488" s="97"/>
      <c r="PIL488" s="97"/>
      <c r="PIN488" s="94"/>
      <c r="PIO488" s="94"/>
      <c r="PIP488" s="95"/>
      <c r="PIQ488" s="96"/>
      <c r="PIR488" s="97"/>
      <c r="PIS488" s="97"/>
      <c r="PIT488" s="97"/>
      <c r="PIU488" s="97"/>
      <c r="PIV488" s="97"/>
      <c r="PIW488" s="97"/>
      <c r="PIX488" s="97"/>
      <c r="PIY488" s="97"/>
      <c r="PJA488" s="94"/>
      <c r="PJB488" s="94"/>
      <c r="PJC488" s="95"/>
      <c r="PJD488" s="96"/>
      <c r="PJE488" s="97"/>
      <c r="PJF488" s="97"/>
      <c r="PJG488" s="97"/>
      <c r="PJH488" s="97"/>
      <c r="PJI488" s="97"/>
      <c r="PJJ488" s="97"/>
      <c r="PJK488" s="97"/>
      <c r="PJL488" s="97"/>
      <c r="PJN488" s="94"/>
      <c r="PJO488" s="94"/>
      <c r="PJP488" s="95"/>
      <c r="PJQ488" s="96"/>
      <c r="PJR488" s="97"/>
      <c r="PJS488" s="97"/>
      <c r="PJT488" s="97"/>
      <c r="PJU488" s="97"/>
      <c r="PJV488" s="97"/>
      <c r="PJW488" s="97"/>
      <c r="PJX488" s="97"/>
      <c r="PJY488" s="97"/>
      <c r="PKA488" s="94"/>
      <c r="PKB488" s="94"/>
      <c r="PKC488" s="95"/>
      <c r="PKD488" s="96"/>
      <c r="PKE488" s="97"/>
      <c r="PKF488" s="97"/>
      <c r="PKG488" s="97"/>
      <c r="PKH488" s="97"/>
      <c r="PKI488" s="97"/>
      <c r="PKJ488" s="97"/>
      <c r="PKK488" s="97"/>
      <c r="PKL488" s="97"/>
      <c r="PKN488" s="94"/>
      <c r="PKO488" s="94"/>
      <c r="PKP488" s="95"/>
      <c r="PKQ488" s="96"/>
      <c r="PKR488" s="97"/>
      <c r="PKS488" s="97"/>
      <c r="PKT488" s="97"/>
      <c r="PKU488" s="97"/>
      <c r="PKV488" s="97"/>
      <c r="PKW488" s="97"/>
      <c r="PKX488" s="97"/>
      <c r="PKY488" s="97"/>
      <c r="PLA488" s="94"/>
      <c r="PLB488" s="94"/>
      <c r="PLC488" s="95"/>
      <c r="PLD488" s="96"/>
      <c r="PLE488" s="97"/>
      <c r="PLF488" s="97"/>
      <c r="PLG488" s="97"/>
      <c r="PLH488" s="97"/>
      <c r="PLI488" s="97"/>
      <c r="PLJ488" s="97"/>
      <c r="PLK488" s="97"/>
      <c r="PLL488" s="97"/>
      <c r="PLN488" s="94"/>
      <c r="PLO488" s="94"/>
      <c r="PLP488" s="95"/>
      <c r="PLQ488" s="96"/>
      <c r="PLR488" s="97"/>
      <c r="PLS488" s="97"/>
      <c r="PLT488" s="97"/>
      <c r="PLU488" s="97"/>
      <c r="PLV488" s="97"/>
      <c r="PLW488" s="97"/>
      <c r="PLX488" s="97"/>
      <c r="PLY488" s="97"/>
      <c r="PMA488" s="94"/>
      <c r="PMB488" s="94"/>
      <c r="PMC488" s="95"/>
      <c r="PMD488" s="96"/>
      <c r="PME488" s="97"/>
      <c r="PMF488" s="97"/>
      <c r="PMG488" s="97"/>
      <c r="PMH488" s="97"/>
      <c r="PMI488" s="97"/>
      <c r="PMJ488" s="97"/>
      <c r="PMK488" s="97"/>
      <c r="PML488" s="97"/>
      <c r="PMN488" s="94"/>
      <c r="PMO488" s="94"/>
      <c r="PMP488" s="95"/>
      <c r="PMQ488" s="96"/>
      <c r="PMR488" s="97"/>
      <c r="PMS488" s="97"/>
      <c r="PMT488" s="97"/>
      <c r="PMU488" s="97"/>
      <c r="PMV488" s="97"/>
      <c r="PMW488" s="97"/>
      <c r="PMX488" s="97"/>
      <c r="PMY488" s="97"/>
      <c r="PNA488" s="94"/>
      <c r="PNB488" s="94"/>
      <c r="PNC488" s="95"/>
      <c r="PND488" s="96"/>
      <c r="PNE488" s="97"/>
      <c r="PNF488" s="97"/>
      <c r="PNG488" s="97"/>
      <c r="PNH488" s="97"/>
      <c r="PNI488" s="97"/>
      <c r="PNJ488" s="97"/>
      <c r="PNK488" s="97"/>
      <c r="PNL488" s="97"/>
      <c r="PNN488" s="94"/>
      <c r="PNO488" s="94"/>
      <c r="PNP488" s="95"/>
      <c r="PNQ488" s="96"/>
      <c r="PNR488" s="97"/>
      <c r="PNS488" s="97"/>
      <c r="PNT488" s="97"/>
      <c r="PNU488" s="97"/>
      <c r="PNV488" s="97"/>
      <c r="PNW488" s="97"/>
      <c r="PNX488" s="97"/>
      <c r="PNY488" s="97"/>
      <c r="POA488" s="94"/>
      <c r="POB488" s="94"/>
      <c r="POC488" s="95"/>
      <c r="POD488" s="96"/>
      <c r="POE488" s="97"/>
      <c r="POF488" s="97"/>
      <c r="POG488" s="97"/>
      <c r="POH488" s="97"/>
      <c r="POI488" s="97"/>
      <c r="POJ488" s="97"/>
      <c r="POK488" s="97"/>
      <c r="POL488" s="97"/>
      <c r="PON488" s="94"/>
      <c r="POO488" s="94"/>
      <c r="POP488" s="95"/>
      <c r="POQ488" s="96"/>
      <c r="POR488" s="97"/>
      <c r="POS488" s="97"/>
      <c r="POT488" s="97"/>
      <c r="POU488" s="97"/>
      <c r="POV488" s="97"/>
      <c r="POW488" s="97"/>
      <c r="POX488" s="97"/>
      <c r="POY488" s="97"/>
      <c r="PPA488" s="94"/>
      <c r="PPB488" s="94"/>
      <c r="PPC488" s="95"/>
      <c r="PPD488" s="96"/>
      <c r="PPE488" s="97"/>
      <c r="PPF488" s="97"/>
      <c r="PPG488" s="97"/>
      <c r="PPH488" s="97"/>
      <c r="PPI488" s="97"/>
      <c r="PPJ488" s="97"/>
      <c r="PPK488" s="97"/>
      <c r="PPL488" s="97"/>
      <c r="PPN488" s="94"/>
      <c r="PPO488" s="94"/>
      <c r="PPP488" s="95"/>
      <c r="PPQ488" s="96"/>
      <c r="PPR488" s="97"/>
      <c r="PPS488" s="97"/>
      <c r="PPT488" s="97"/>
      <c r="PPU488" s="97"/>
      <c r="PPV488" s="97"/>
      <c r="PPW488" s="97"/>
      <c r="PPX488" s="97"/>
      <c r="PPY488" s="97"/>
      <c r="PQA488" s="94"/>
      <c r="PQB488" s="94"/>
      <c r="PQC488" s="95"/>
      <c r="PQD488" s="96"/>
      <c r="PQE488" s="97"/>
      <c r="PQF488" s="97"/>
      <c r="PQG488" s="97"/>
      <c r="PQH488" s="97"/>
      <c r="PQI488" s="97"/>
      <c r="PQJ488" s="97"/>
      <c r="PQK488" s="97"/>
      <c r="PQL488" s="97"/>
      <c r="PQN488" s="94"/>
      <c r="PQO488" s="94"/>
      <c r="PQP488" s="95"/>
      <c r="PQQ488" s="96"/>
      <c r="PQR488" s="97"/>
      <c r="PQS488" s="97"/>
      <c r="PQT488" s="97"/>
      <c r="PQU488" s="97"/>
      <c r="PQV488" s="97"/>
      <c r="PQW488" s="97"/>
      <c r="PQX488" s="97"/>
      <c r="PQY488" s="97"/>
      <c r="PRA488" s="94"/>
      <c r="PRB488" s="94"/>
      <c r="PRC488" s="95"/>
      <c r="PRD488" s="96"/>
      <c r="PRE488" s="97"/>
      <c r="PRF488" s="97"/>
      <c r="PRG488" s="97"/>
      <c r="PRH488" s="97"/>
      <c r="PRI488" s="97"/>
      <c r="PRJ488" s="97"/>
      <c r="PRK488" s="97"/>
      <c r="PRL488" s="97"/>
      <c r="PRN488" s="94"/>
      <c r="PRO488" s="94"/>
      <c r="PRP488" s="95"/>
      <c r="PRQ488" s="96"/>
      <c r="PRR488" s="97"/>
      <c r="PRS488" s="97"/>
      <c r="PRT488" s="97"/>
      <c r="PRU488" s="97"/>
      <c r="PRV488" s="97"/>
      <c r="PRW488" s="97"/>
      <c r="PRX488" s="97"/>
      <c r="PRY488" s="97"/>
      <c r="PSA488" s="94"/>
      <c r="PSB488" s="94"/>
      <c r="PSC488" s="95"/>
      <c r="PSD488" s="96"/>
      <c r="PSE488" s="97"/>
      <c r="PSF488" s="97"/>
      <c r="PSG488" s="97"/>
      <c r="PSH488" s="97"/>
      <c r="PSI488" s="97"/>
      <c r="PSJ488" s="97"/>
      <c r="PSK488" s="97"/>
      <c r="PSL488" s="97"/>
      <c r="PSN488" s="94"/>
      <c r="PSO488" s="94"/>
      <c r="PSP488" s="95"/>
      <c r="PSQ488" s="96"/>
      <c r="PSR488" s="97"/>
      <c r="PSS488" s="97"/>
      <c r="PST488" s="97"/>
      <c r="PSU488" s="97"/>
      <c r="PSV488" s="97"/>
      <c r="PSW488" s="97"/>
      <c r="PSX488" s="97"/>
      <c r="PSY488" s="97"/>
      <c r="PTA488" s="94"/>
      <c r="PTB488" s="94"/>
      <c r="PTC488" s="95"/>
      <c r="PTD488" s="96"/>
      <c r="PTE488" s="97"/>
      <c r="PTF488" s="97"/>
      <c r="PTG488" s="97"/>
      <c r="PTH488" s="97"/>
      <c r="PTI488" s="97"/>
      <c r="PTJ488" s="97"/>
      <c r="PTK488" s="97"/>
      <c r="PTL488" s="97"/>
      <c r="PTN488" s="94"/>
      <c r="PTO488" s="94"/>
      <c r="PTP488" s="95"/>
      <c r="PTQ488" s="96"/>
      <c r="PTR488" s="97"/>
      <c r="PTS488" s="97"/>
      <c r="PTT488" s="97"/>
      <c r="PTU488" s="97"/>
      <c r="PTV488" s="97"/>
      <c r="PTW488" s="97"/>
      <c r="PTX488" s="97"/>
      <c r="PTY488" s="97"/>
      <c r="PUA488" s="94"/>
      <c r="PUB488" s="94"/>
      <c r="PUC488" s="95"/>
      <c r="PUD488" s="96"/>
      <c r="PUE488" s="97"/>
      <c r="PUF488" s="97"/>
      <c r="PUG488" s="97"/>
      <c r="PUH488" s="97"/>
      <c r="PUI488" s="97"/>
      <c r="PUJ488" s="97"/>
      <c r="PUK488" s="97"/>
      <c r="PUL488" s="97"/>
      <c r="PUN488" s="94"/>
      <c r="PUO488" s="94"/>
      <c r="PUP488" s="95"/>
      <c r="PUQ488" s="96"/>
      <c r="PUR488" s="97"/>
      <c r="PUS488" s="97"/>
      <c r="PUT488" s="97"/>
      <c r="PUU488" s="97"/>
      <c r="PUV488" s="97"/>
      <c r="PUW488" s="97"/>
      <c r="PUX488" s="97"/>
      <c r="PUY488" s="97"/>
      <c r="PVA488" s="94"/>
      <c r="PVB488" s="94"/>
      <c r="PVC488" s="95"/>
      <c r="PVD488" s="96"/>
      <c r="PVE488" s="97"/>
      <c r="PVF488" s="97"/>
      <c r="PVG488" s="97"/>
      <c r="PVH488" s="97"/>
      <c r="PVI488" s="97"/>
      <c r="PVJ488" s="97"/>
      <c r="PVK488" s="97"/>
      <c r="PVL488" s="97"/>
      <c r="PVN488" s="94"/>
      <c r="PVO488" s="94"/>
      <c r="PVP488" s="95"/>
      <c r="PVQ488" s="96"/>
      <c r="PVR488" s="97"/>
      <c r="PVS488" s="97"/>
      <c r="PVT488" s="97"/>
      <c r="PVU488" s="97"/>
      <c r="PVV488" s="97"/>
      <c r="PVW488" s="97"/>
      <c r="PVX488" s="97"/>
      <c r="PVY488" s="97"/>
      <c r="PWA488" s="94"/>
      <c r="PWB488" s="94"/>
      <c r="PWC488" s="95"/>
      <c r="PWD488" s="96"/>
      <c r="PWE488" s="97"/>
      <c r="PWF488" s="97"/>
      <c r="PWG488" s="97"/>
      <c r="PWH488" s="97"/>
      <c r="PWI488" s="97"/>
      <c r="PWJ488" s="97"/>
      <c r="PWK488" s="97"/>
      <c r="PWL488" s="97"/>
      <c r="PWN488" s="94"/>
      <c r="PWO488" s="94"/>
      <c r="PWP488" s="95"/>
      <c r="PWQ488" s="96"/>
      <c r="PWR488" s="97"/>
      <c r="PWS488" s="97"/>
      <c r="PWT488" s="97"/>
      <c r="PWU488" s="97"/>
      <c r="PWV488" s="97"/>
      <c r="PWW488" s="97"/>
      <c r="PWX488" s="97"/>
      <c r="PWY488" s="97"/>
      <c r="PXA488" s="94"/>
      <c r="PXB488" s="94"/>
      <c r="PXC488" s="95"/>
      <c r="PXD488" s="96"/>
      <c r="PXE488" s="97"/>
      <c r="PXF488" s="97"/>
      <c r="PXG488" s="97"/>
      <c r="PXH488" s="97"/>
      <c r="PXI488" s="97"/>
      <c r="PXJ488" s="97"/>
      <c r="PXK488" s="97"/>
      <c r="PXL488" s="97"/>
      <c r="PXN488" s="94"/>
      <c r="PXO488" s="94"/>
      <c r="PXP488" s="95"/>
      <c r="PXQ488" s="96"/>
      <c r="PXR488" s="97"/>
      <c r="PXS488" s="97"/>
      <c r="PXT488" s="97"/>
      <c r="PXU488" s="97"/>
      <c r="PXV488" s="97"/>
      <c r="PXW488" s="97"/>
      <c r="PXX488" s="97"/>
      <c r="PXY488" s="97"/>
      <c r="PYA488" s="94"/>
      <c r="PYB488" s="94"/>
      <c r="PYC488" s="95"/>
      <c r="PYD488" s="96"/>
      <c r="PYE488" s="97"/>
      <c r="PYF488" s="97"/>
      <c r="PYG488" s="97"/>
      <c r="PYH488" s="97"/>
      <c r="PYI488" s="97"/>
      <c r="PYJ488" s="97"/>
      <c r="PYK488" s="97"/>
      <c r="PYL488" s="97"/>
      <c r="PYN488" s="94"/>
      <c r="PYO488" s="94"/>
      <c r="PYP488" s="95"/>
      <c r="PYQ488" s="96"/>
      <c r="PYR488" s="97"/>
      <c r="PYS488" s="97"/>
      <c r="PYT488" s="97"/>
      <c r="PYU488" s="97"/>
      <c r="PYV488" s="97"/>
      <c r="PYW488" s="97"/>
      <c r="PYX488" s="97"/>
      <c r="PYY488" s="97"/>
      <c r="PZA488" s="94"/>
      <c r="PZB488" s="94"/>
      <c r="PZC488" s="95"/>
      <c r="PZD488" s="96"/>
      <c r="PZE488" s="97"/>
      <c r="PZF488" s="97"/>
      <c r="PZG488" s="97"/>
      <c r="PZH488" s="97"/>
      <c r="PZI488" s="97"/>
      <c r="PZJ488" s="97"/>
      <c r="PZK488" s="97"/>
      <c r="PZL488" s="97"/>
      <c r="PZN488" s="94"/>
      <c r="PZO488" s="94"/>
      <c r="PZP488" s="95"/>
      <c r="PZQ488" s="96"/>
      <c r="PZR488" s="97"/>
      <c r="PZS488" s="97"/>
      <c r="PZT488" s="97"/>
      <c r="PZU488" s="97"/>
      <c r="PZV488" s="97"/>
      <c r="PZW488" s="97"/>
      <c r="PZX488" s="97"/>
      <c r="PZY488" s="97"/>
      <c r="QAA488" s="94"/>
      <c r="QAB488" s="94"/>
      <c r="QAC488" s="95"/>
      <c r="QAD488" s="96"/>
      <c r="QAE488" s="97"/>
      <c r="QAF488" s="97"/>
      <c r="QAG488" s="97"/>
      <c r="QAH488" s="97"/>
      <c r="QAI488" s="97"/>
      <c r="QAJ488" s="97"/>
      <c r="QAK488" s="97"/>
      <c r="QAL488" s="97"/>
      <c r="QAN488" s="94"/>
      <c r="QAO488" s="94"/>
      <c r="QAP488" s="95"/>
      <c r="QAQ488" s="96"/>
      <c r="QAR488" s="97"/>
      <c r="QAS488" s="97"/>
      <c r="QAT488" s="97"/>
      <c r="QAU488" s="97"/>
      <c r="QAV488" s="97"/>
      <c r="QAW488" s="97"/>
      <c r="QAX488" s="97"/>
      <c r="QAY488" s="97"/>
      <c r="QBA488" s="94"/>
      <c r="QBB488" s="94"/>
      <c r="QBC488" s="95"/>
      <c r="QBD488" s="96"/>
      <c r="QBE488" s="97"/>
      <c r="QBF488" s="97"/>
      <c r="QBG488" s="97"/>
      <c r="QBH488" s="97"/>
      <c r="QBI488" s="97"/>
      <c r="QBJ488" s="97"/>
      <c r="QBK488" s="97"/>
      <c r="QBL488" s="97"/>
      <c r="QBN488" s="94"/>
      <c r="QBO488" s="94"/>
      <c r="QBP488" s="95"/>
      <c r="QBQ488" s="96"/>
      <c r="QBR488" s="97"/>
      <c r="QBS488" s="97"/>
      <c r="QBT488" s="97"/>
      <c r="QBU488" s="97"/>
      <c r="QBV488" s="97"/>
      <c r="QBW488" s="97"/>
      <c r="QBX488" s="97"/>
      <c r="QBY488" s="97"/>
      <c r="QCA488" s="94"/>
      <c r="QCB488" s="94"/>
      <c r="QCC488" s="95"/>
      <c r="QCD488" s="96"/>
      <c r="QCE488" s="97"/>
      <c r="QCF488" s="97"/>
      <c r="QCG488" s="97"/>
      <c r="QCH488" s="97"/>
      <c r="QCI488" s="97"/>
      <c r="QCJ488" s="97"/>
      <c r="QCK488" s="97"/>
      <c r="QCL488" s="97"/>
      <c r="QCN488" s="94"/>
      <c r="QCO488" s="94"/>
      <c r="QCP488" s="95"/>
      <c r="QCQ488" s="96"/>
      <c r="QCR488" s="97"/>
      <c r="QCS488" s="97"/>
      <c r="QCT488" s="97"/>
      <c r="QCU488" s="97"/>
      <c r="QCV488" s="97"/>
      <c r="QCW488" s="97"/>
      <c r="QCX488" s="97"/>
      <c r="QCY488" s="97"/>
      <c r="QDA488" s="94"/>
      <c r="QDB488" s="94"/>
      <c r="QDC488" s="95"/>
      <c r="QDD488" s="96"/>
      <c r="QDE488" s="97"/>
      <c r="QDF488" s="97"/>
      <c r="QDG488" s="97"/>
      <c r="QDH488" s="97"/>
      <c r="QDI488" s="97"/>
      <c r="QDJ488" s="97"/>
      <c r="QDK488" s="97"/>
      <c r="QDL488" s="97"/>
      <c r="QDN488" s="94"/>
      <c r="QDO488" s="94"/>
      <c r="QDP488" s="95"/>
      <c r="QDQ488" s="96"/>
      <c r="QDR488" s="97"/>
      <c r="QDS488" s="97"/>
      <c r="QDT488" s="97"/>
      <c r="QDU488" s="97"/>
      <c r="QDV488" s="97"/>
      <c r="QDW488" s="97"/>
      <c r="QDX488" s="97"/>
      <c r="QDY488" s="97"/>
      <c r="QEA488" s="94"/>
      <c r="QEB488" s="94"/>
      <c r="QEC488" s="95"/>
      <c r="QED488" s="96"/>
      <c r="QEE488" s="97"/>
      <c r="QEF488" s="97"/>
      <c r="QEG488" s="97"/>
      <c r="QEH488" s="97"/>
      <c r="QEI488" s="97"/>
      <c r="QEJ488" s="97"/>
      <c r="QEK488" s="97"/>
      <c r="QEL488" s="97"/>
      <c r="QEN488" s="94"/>
      <c r="QEO488" s="94"/>
      <c r="QEP488" s="95"/>
      <c r="QEQ488" s="96"/>
      <c r="QER488" s="97"/>
      <c r="QES488" s="97"/>
      <c r="QET488" s="97"/>
      <c r="QEU488" s="97"/>
      <c r="QEV488" s="97"/>
      <c r="QEW488" s="97"/>
      <c r="QEX488" s="97"/>
      <c r="QEY488" s="97"/>
      <c r="QFA488" s="94"/>
      <c r="QFB488" s="94"/>
      <c r="QFC488" s="95"/>
      <c r="QFD488" s="96"/>
      <c r="QFE488" s="97"/>
      <c r="QFF488" s="97"/>
      <c r="QFG488" s="97"/>
      <c r="QFH488" s="97"/>
      <c r="QFI488" s="97"/>
      <c r="QFJ488" s="97"/>
      <c r="QFK488" s="97"/>
      <c r="QFL488" s="97"/>
      <c r="QFN488" s="94"/>
      <c r="QFO488" s="94"/>
      <c r="QFP488" s="95"/>
      <c r="QFQ488" s="96"/>
      <c r="QFR488" s="97"/>
      <c r="QFS488" s="97"/>
      <c r="QFT488" s="97"/>
      <c r="QFU488" s="97"/>
      <c r="QFV488" s="97"/>
      <c r="QFW488" s="97"/>
      <c r="QFX488" s="97"/>
      <c r="QFY488" s="97"/>
      <c r="QGA488" s="94"/>
      <c r="QGB488" s="94"/>
      <c r="QGC488" s="95"/>
      <c r="QGD488" s="96"/>
      <c r="QGE488" s="97"/>
      <c r="QGF488" s="97"/>
      <c r="QGG488" s="97"/>
      <c r="QGH488" s="97"/>
      <c r="QGI488" s="97"/>
      <c r="QGJ488" s="97"/>
      <c r="QGK488" s="97"/>
      <c r="QGL488" s="97"/>
      <c r="QGN488" s="94"/>
      <c r="QGO488" s="94"/>
      <c r="QGP488" s="95"/>
      <c r="QGQ488" s="96"/>
      <c r="QGR488" s="97"/>
      <c r="QGS488" s="97"/>
      <c r="QGT488" s="97"/>
      <c r="QGU488" s="97"/>
      <c r="QGV488" s="97"/>
      <c r="QGW488" s="97"/>
      <c r="QGX488" s="97"/>
      <c r="QGY488" s="97"/>
      <c r="QHA488" s="94"/>
      <c r="QHB488" s="94"/>
      <c r="QHC488" s="95"/>
      <c r="QHD488" s="96"/>
      <c r="QHE488" s="97"/>
      <c r="QHF488" s="97"/>
      <c r="QHG488" s="97"/>
      <c r="QHH488" s="97"/>
      <c r="QHI488" s="97"/>
      <c r="QHJ488" s="97"/>
      <c r="QHK488" s="97"/>
      <c r="QHL488" s="97"/>
      <c r="QHN488" s="94"/>
      <c r="QHO488" s="94"/>
      <c r="QHP488" s="95"/>
      <c r="QHQ488" s="96"/>
      <c r="QHR488" s="97"/>
      <c r="QHS488" s="97"/>
      <c r="QHT488" s="97"/>
      <c r="QHU488" s="97"/>
      <c r="QHV488" s="97"/>
      <c r="QHW488" s="97"/>
      <c r="QHX488" s="97"/>
      <c r="QHY488" s="97"/>
      <c r="QIA488" s="94"/>
      <c r="QIB488" s="94"/>
      <c r="QIC488" s="95"/>
      <c r="QID488" s="96"/>
      <c r="QIE488" s="97"/>
      <c r="QIF488" s="97"/>
      <c r="QIG488" s="97"/>
      <c r="QIH488" s="97"/>
      <c r="QII488" s="97"/>
      <c r="QIJ488" s="97"/>
      <c r="QIK488" s="97"/>
      <c r="QIL488" s="97"/>
      <c r="QIN488" s="94"/>
      <c r="QIO488" s="94"/>
      <c r="QIP488" s="95"/>
      <c r="QIQ488" s="96"/>
      <c r="QIR488" s="97"/>
      <c r="QIS488" s="97"/>
      <c r="QIT488" s="97"/>
      <c r="QIU488" s="97"/>
      <c r="QIV488" s="97"/>
      <c r="QIW488" s="97"/>
      <c r="QIX488" s="97"/>
      <c r="QIY488" s="97"/>
      <c r="QJA488" s="94"/>
      <c r="QJB488" s="94"/>
      <c r="QJC488" s="95"/>
      <c r="QJD488" s="96"/>
      <c r="QJE488" s="97"/>
      <c r="QJF488" s="97"/>
      <c r="QJG488" s="97"/>
      <c r="QJH488" s="97"/>
      <c r="QJI488" s="97"/>
      <c r="QJJ488" s="97"/>
      <c r="QJK488" s="97"/>
      <c r="QJL488" s="97"/>
      <c r="QJN488" s="94"/>
      <c r="QJO488" s="94"/>
      <c r="QJP488" s="95"/>
      <c r="QJQ488" s="96"/>
      <c r="QJR488" s="97"/>
      <c r="QJS488" s="97"/>
      <c r="QJT488" s="97"/>
      <c r="QJU488" s="97"/>
      <c r="QJV488" s="97"/>
      <c r="QJW488" s="97"/>
      <c r="QJX488" s="97"/>
      <c r="QJY488" s="97"/>
      <c r="QKA488" s="94"/>
      <c r="QKB488" s="94"/>
      <c r="QKC488" s="95"/>
      <c r="QKD488" s="96"/>
      <c r="QKE488" s="97"/>
      <c r="QKF488" s="97"/>
      <c r="QKG488" s="97"/>
      <c r="QKH488" s="97"/>
      <c r="QKI488" s="97"/>
      <c r="QKJ488" s="97"/>
      <c r="QKK488" s="97"/>
      <c r="QKL488" s="97"/>
      <c r="QKN488" s="94"/>
      <c r="QKO488" s="94"/>
      <c r="QKP488" s="95"/>
      <c r="QKQ488" s="96"/>
      <c r="QKR488" s="97"/>
      <c r="QKS488" s="97"/>
      <c r="QKT488" s="97"/>
      <c r="QKU488" s="97"/>
      <c r="QKV488" s="97"/>
      <c r="QKW488" s="97"/>
      <c r="QKX488" s="97"/>
      <c r="QKY488" s="97"/>
      <c r="QLA488" s="94"/>
      <c r="QLB488" s="94"/>
      <c r="QLC488" s="95"/>
      <c r="QLD488" s="96"/>
      <c r="QLE488" s="97"/>
      <c r="QLF488" s="97"/>
      <c r="QLG488" s="97"/>
      <c r="QLH488" s="97"/>
      <c r="QLI488" s="97"/>
      <c r="QLJ488" s="97"/>
      <c r="QLK488" s="97"/>
      <c r="QLL488" s="97"/>
      <c r="QLN488" s="94"/>
      <c r="QLO488" s="94"/>
      <c r="QLP488" s="95"/>
      <c r="QLQ488" s="96"/>
      <c r="QLR488" s="97"/>
      <c r="QLS488" s="97"/>
      <c r="QLT488" s="97"/>
      <c r="QLU488" s="97"/>
      <c r="QLV488" s="97"/>
      <c r="QLW488" s="97"/>
      <c r="QLX488" s="97"/>
      <c r="QLY488" s="97"/>
      <c r="QMA488" s="94"/>
      <c r="QMB488" s="94"/>
      <c r="QMC488" s="95"/>
      <c r="QMD488" s="96"/>
      <c r="QME488" s="97"/>
      <c r="QMF488" s="97"/>
      <c r="QMG488" s="97"/>
      <c r="QMH488" s="97"/>
      <c r="QMI488" s="97"/>
      <c r="QMJ488" s="97"/>
      <c r="QMK488" s="97"/>
      <c r="QML488" s="97"/>
      <c r="QMN488" s="94"/>
      <c r="QMO488" s="94"/>
      <c r="QMP488" s="95"/>
      <c r="QMQ488" s="96"/>
      <c r="QMR488" s="97"/>
      <c r="QMS488" s="97"/>
      <c r="QMT488" s="97"/>
      <c r="QMU488" s="97"/>
      <c r="QMV488" s="97"/>
      <c r="QMW488" s="97"/>
      <c r="QMX488" s="97"/>
      <c r="QMY488" s="97"/>
      <c r="QNA488" s="94"/>
      <c r="QNB488" s="94"/>
      <c r="QNC488" s="95"/>
      <c r="QND488" s="96"/>
      <c r="QNE488" s="97"/>
      <c r="QNF488" s="97"/>
      <c r="QNG488" s="97"/>
      <c r="QNH488" s="97"/>
      <c r="QNI488" s="97"/>
      <c r="QNJ488" s="97"/>
      <c r="QNK488" s="97"/>
      <c r="QNL488" s="97"/>
      <c r="QNN488" s="94"/>
      <c r="QNO488" s="94"/>
      <c r="QNP488" s="95"/>
      <c r="QNQ488" s="96"/>
      <c r="QNR488" s="97"/>
      <c r="QNS488" s="97"/>
      <c r="QNT488" s="97"/>
      <c r="QNU488" s="97"/>
      <c r="QNV488" s="97"/>
      <c r="QNW488" s="97"/>
      <c r="QNX488" s="97"/>
      <c r="QNY488" s="97"/>
      <c r="QOA488" s="94"/>
      <c r="QOB488" s="94"/>
      <c r="QOC488" s="95"/>
      <c r="QOD488" s="96"/>
      <c r="QOE488" s="97"/>
      <c r="QOF488" s="97"/>
      <c r="QOG488" s="97"/>
      <c r="QOH488" s="97"/>
      <c r="QOI488" s="97"/>
      <c r="QOJ488" s="97"/>
      <c r="QOK488" s="97"/>
      <c r="QOL488" s="97"/>
      <c r="QON488" s="94"/>
      <c r="QOO488" s="94"/>
      <c r="QOP488" s="95"/>
      <c r="QOQ488" s="96"/>
      <c r="QOR488" s="97"/>
      <c r="QOS488" s="97"/>
      <c r="QOT488" s="97"/>
      <c r="QOU488" s="97"/>
      <c r="QOV488" s="97"/>
      <c r="QOW488" s="97"/>
      <c r="QOX488" s="97"/>
      <c r="QOY488" s="97"/>
      <c r="QPA488" s="94"/>
      <c r="QPB488" s="94"/>
      <c r="QPC488" s="95"/>
      <c r="QPD488" s="96"/>
      <c r="QPE488" s="97"/>
      <c r="QPF488" s="97"/>
      <c r="QPG488" s="97"/>
      <c r="QPH488" s="97"/>
      <c r="QPI488" s="97"/>
      <c r="QPJ488" s="97"/>
      <c r="QPK488" s="97"/>
      <c r="QPL488" s="97"/>
      <c r="QPN488" s="94"/>
      <c r="QPO488" s="94"/>
      <c r="QPP488" s="95"/>
      <c r="QPQ488" s="96"/>
      <c r="QPR488" s="97"/>
      <c r="QPS488" s="97"/>
      <c r="QPT488" s="97"/>
      <c r="QPU488" s="97"/>
      <c r="QPV488" s="97"/>
      <c r="QPW488" s="97"/>
      <c r="QPX488" s="97"/>
      <c r="QPY488" s="97"/>
      <c r="QQA488" s="94"/>
      <c r="QQB488" s="94"/>
      <c r="QQC488" s="95"/>
      <c r="QQD488" s="96"/>
      <c r="QQE488" s="97"/>
      <c r="QQF488" s="97"/>
      <c r="QQG488" s="97"/>
      <c r="QQH488" s="97"/>
      <c r="QQI488" s="97"/>
      <c r="QQJ488" s="97"/>
      <c r="QQK488" s="97"/>
      <c r="QQL488" s="97"/>
      <c r="QQN488" s="94"/>
      <c r="QQO488" s="94"/>
      <c r="QQP488" s="95"/>
      <c r="QQQ488" s="96"/>
      <c r="QQR488" s="97"/>
      <c r="QQS488" s="97"/>
      <c r="QQT488" s="97"/>
      <c r="QQU488" s="97"/>
      <c r="QQV488" s="97"/>
      <c r="QQW488" s="97"/>
      <c r="QQX488" s="97"/>
      <c r="QQY488" s="97"/>
      <c r="QRA488" s="94"/>
      <c r="QRB488" s="94"/>
      <c r="QRC488" s="95"/>
      <c r="QRD488" s="96"/>
      <c r="QRE488" s="97"/>
      <c r="QRF488" s="97"/>
      <c r="QRG488" s="97"/>
      <c r="QRH488" s="97"/>
      <c r="QRI488" s="97"/>
      <c r="QRJ488" s="97"/>
      <c r="QRK488" s="97"/>
      <c r="QRL488" s="97"/>
      <c r="QRN488" s="94"/>
      <c r="QRO488" s="94"/>
      <c r="QRP488" s="95"/>
      <c r="QRQ488" s="96"/>
      <c r="QRR488" s="97"/>
      <c r="QRS488" s="97"/>
      <c r="QRT488" s="97"/>
      <c r="QRU488" s="97"/>
      <c r="QRV488" s="97"/>
      <c r="QRW488" s="97"/>
      <c r="QRX488" s="97"/>
      <c r="QRY488" s="97"/>
      <c r="QSA488" s="94"/>
      <c r="QSB488" s="94"/>
      <c r="QSC488" s="95"/>
      <c r="QSD488" s="96"/>
      <c r="QSE488" s="97"/>
      <c r="QSF488" s="97"/>
      <c r="QSG488" s="97"/>
      <c r="QSH488" s="97"/>
      <c r="QSI488" s="97"/>
      <c r="QSJ488" s="97"/>
      <c r="QSK488" s="97"/>
      <c r="QSL488" s="97"/>
      <c r="QSN488" s="94"/>
      <c r="QSO488" s="94"/>
      <c r="QSP488" s="95"/>
      <c r="QSQ488" s="96"/>
      <c r="QSR488" s="97"/>
      <c r="QSS488" s="97"/>
      <c r="QST488" s="97"/>
      <c r="QSU488" s="97"/>
      <c r="QSV488" s="97"/>
      <c r="QSW488" s="97"/>
      <c r="QSX488" s="97"/>
      <c r="QSY488" s="97"/>
      <c r="QTA488" s="94"/>
      <c r="QTB488" s="94"/>
      <c r="QTC488" s="95"/>
      <c r="QTD488" s="96"/>
      <c r="QTE488" s="97"/>
      <c r="QTF488" s="97"/>
      <c r="QTG488" s="97"/>
      <c r="QTH488" s="97"/>
      <c r="QTI488" s="97"/>
      <c r="QTJ488" s="97"/>
      <c r="QTK488" s="97"/>
      <c r="QTL488" s="97"/>
      <c r="QTN488" s="94"/>
      <c r="QTO488" s="94"/>
      <c r="QTP488" s="95"/>
      <c r="QTQ488" s="96"/>
      <c r="QTR488" s="97"/>
      <c r="QTS488" s="97"/>
      <c r="QTT488" s="97"/>
      <c r="QTU488" s="97"/>
      <c r="QTV488" s="97"/>
      <c r="QTW488" s="97"/>
      <c r="QTX488" s="97"/>
      <c r="QTY488" s="97"/>
      <c r="QUA488" s="94"/>
      <c r="QUB488" s="94"/>
      <c r="QUC488" s="95"/>
      <c r="QUD488" s="96"/>
      <c r="QUE488" s="97"/>
      <c r="QUF488" s="97"/>
      <c r="QUG488" s="97"/>
      <c r="QUH488" s="97"/>
      <c r="QUI488" s="97"/>
      <c r="QUJ488" s="97"/>
      <c r="QUK488" s="97"/>
      <c r="QUL488" s="97"/>
      <c r="QUN488" s="94"/>
      <c r="QUO488" s="94"/>
      <c r="QUP488" s="95"/>
      <c r="QUQ488" s="96"/>
      <c r="QUR488" s="97"/>
      <c r="QUS488" s="97"/>
      <c r="QUT488" s="97"/>
      <c r="QUU488" s="97"/>
      <c r="QUV488" s="97"/>
      <c r="QUW488" s="97"/>
      <c r="QUX488" s="97"/>
      <c r="QUY488" s="97"/>
      <c r="QVA488" s="94"/>
      <c r="QVB488" s="94"/>
      <c r="QVC488" s="95"/>
      <c r="QVD488" s="96"/>
      <c r="QVE488" s="97"/>
      <c r="QVF488" s="97"/>
      <c r="QVG488" s="97"/>
      <c r="QVH488" s="97"/>
      <c r="QVI488" s="97"/>
      <c r="QVJ488" s="97"/>
      <c r="QVK488" s="97"/>
      <c r="QVL488" s="97"/>
      <c r="QVN488" s="94"/>
      <c r="QVO488" s="94"/>
      <c r="QVP488" s="95"/>
      <c r="QVQ488" s="96"/>
      <c r="QVR488" s="97"/>
      <c r="QVS488" s="97"/>
      <c r="QVT488" s="97"/>
      <c r="QVU488" s="97"/>
      <c r="QVV488" s="97"/>
      <c r="QVW488" s="97"/>
      <c r="QVX488" s="97"/>
      <c r="QVY488" s="97"/>
      <c r="QWA488" s="94"/>
      <c r="QWB488" s="94"/>
      <c r="QWC488" s="95"/>
      <c r="QWD488" s="96"/>
      <c r="QWE488" s="97"/>
      <c r="QWF488" s="97"/>
      <c r="QWG488" s="97"/>
      <c r="QWH488" s="97"/>
      <c r="QWI488" s="97"/>
      <c r="QWJ488" s="97"/>
      <c r="QWK488" s="97"/>
      <c r="QWL488" s="97"/>
      <c r="QWN488" s="94"/>
      <c r="QWO488" s="94"/>
      <c r="QWP488" s="95"/>
      <c r="QWQ488" s="96"/>
      <c r="QWR488" s="97"/>
      <c r="QWS488" s="97"/>
      <c r="QWT488" s="97"/>
      <c r="QWU488" s="97"/>
      <c r="QWV488" s="97"/>
      <c r="QWW488" s="97"/>
      <c r="QWX488" s="97"/>
      <c r="QWY488" s="97"/>
      <c r="QXA488" s="94"/>
      <c r="QXB488" s="94"/>
      <c r="QXC488" s="95"/>
      <c r="QXD488" s="96"/>
      <c r="QXE488" s="97"/>
      <c r="QXF488" s="97"/>
      <c r="QXG488" s="97"/>
      <c r="QXH488" s="97"/>
      <c r="QXI488" s="97"/>
      <c r="QXJ488" s="97"/>
      <c r="QXK488" s="97"/>
      <c r="QXL488" s="97"/>
      <c r="QXN488" s="94"/>
      <c r="QXO488" s="94"/>
      <c r="QXP488" s="95"/>
      <c r="QXQ488" s="96"/>
      <c r="QXR488" s="97"/>
      <c r="QXS488" s="97"/>
      <c r="QXT488" s="97"/>
      <c r="QXU488" s="97"/>
      <c r="QXV488" s="97"/>
      <c r="QXW488" s="97"/>
      <c r="QXX488" s="97"/>
      <c r="QXY488" s="97"/>
      <c r="QYA488" s="94"/>
      <c r="QYB488" s="94"/>
      <c r="QYC488" s="95"/>
      <c r="QYD488" s="96"/>
      <c r="QYE488" s="97"/>
      <c r="QYF488" s="97"/>
      <c r="QYG488" s="97"/>
      <c r="QYH488" s="97"/>
      <c r="QYI488" s="97"/>
      <c r="QYJ488" s="97"/>
      <c r="QYK488" s="97"/>
      <c r="QYL488" s="97"/>
      <c r="QYN488" s="94"/>
      <c r="QYO488" s="94"/>
      <c r="QYP488" s="95"/>
      <c r="QYQ488" s="96"/>
      <c r="QYR488" s="97"/>
      <c r="QYS488" s="97"/>
      <c r="QYT488" s="97"/>
      <c r="QYU488" s="97"/>
      <c r="QYV488" s="97"/>
      <c r="QYW488" s="97"/>
      <c r="QYX488" s="97"/>
      <c r="QYY488" s="97"/>
      <c r="QZA488" s="94"/>
      <c r="QZB488" s="94"/>
      <c r="QZC488" s="95"/>
      <c r="QZD488" s="96"/>
      <c r="QZE488" s="97"/>
      <c r="QZF488" s="97"/>
      <c r="QZG488" s="97"/>
      <c r="QZH488" s="97"/>
      <c r="QZI488" s="97"/>
      <c r="QZJ488" s="97"/>
      <c r="QZK488" s="97"/>
      <c r="QZL488" s="97"/>
      <c r="QZN488" s="94"/>
      <c r="QZO488" s="94"/>
      <c r="QZP488" s="95"/>
      <c r="QZQ488" s="96"/>
      <c r="QZR488" s="97"/>
      <c r="QZS488" s="97"/>
      <c r="QZT488" s="97"/>
      <c r="QZU488" s="97"/>
      <c r="QZV488" s="97"/>
      <c r="QZW488" s="97"/>
      <c r="QZX488" s="97"/>
      <c r="QZY488" s="97"/>
      <c r="RAA488" s="94"/>
      <c r="RAB488" s="94"/>
      <c r="RAC488" s="95"/>
      <c r="RAD488" s="96"/>
      <c r="RAE488" s="97"/>
      <c r="RAF488" s="97"/>
      <c r="RAG488" s="97"/>
      <c r="RAH488" s="97"/>
      <c r="RAI488" s="97"/>
      <c r="RAJ488" s="97"/>
      <c r="RAK488" s="97"/>
      <c r="RAL488" s="97"/>
      <c r="RAN488" s="94"/>
      <c r="RAO488" s="94"/>
      <c r="RAP488" s="95"/>
      <c r="RAQ488" s="96"/>
      <c r="RAR488" s="97"/>
      <c r="RAS488" s="97"/>
      <c r="RAT488" s="97"/>
      <c r="RAU488" s="97"/>
      <c r="RAV488" s="97"/>
      <c r="RAW488" s="97"/>
      <c r="RAX488" s="97"/>
      <c r="RAY488" s="97"/>
      <c r="RBA488" s="94"/>
      <c r="RBB488" s="94"/>
      <c r="RBC488" s="95"/>
      <c r="RBD488" s="96"/>
      <c r="RBE488" s="97"/>
      <c r="RBF488" s="97"/>
      <c r="RBG488" s="97"/>
      <c r="RBH488" s="97"/>
      <c r="RBI488" s="97"/>
      <c r="RBJ488" s="97"/>
      <c r="RBK488" s="97"/>
      <c r="RBL488" s="97"/>
      <c r="RBN488" s="94"/>
      <c r="RBO488" s="94"/>
      <c r="RBP488" s="95"/>
      <c r="RBQ488" s="96"/>
      <c r="RBR488" s="97"/>
      <c r="RBS488" s="97"/>
      <c r="RBT488" s="97"/>
      <c r="RBU488" s="97"/>
      <c r="RBV488" s="97"/>
      <c r="RBW488" s="97"/>
      <c r="RBX488" s="97"/>
      <c r="RBY488" s="97"/>
      <c r="RCA488" s="94"/>
      <c r="RCB488" s="94"/>
      <c r="RCC488" s="95"/>
      <c r="RCD488" s="96"/>
      <c r="RCE488" s="97"/>
      <c r="RCF488" s="97"/>
      <c r="RCG488" s="97"/>
      <c r="RCH488" s="97"/>
      <c r="RCI488" s="97"/>
      <c r="RCJ488" s="97"/>
      <c r="RCK488" s="97"/>
      <c r="RCL488" s="97"/>
      <c r="RCN488" s="94"/>
      <c r="RCO488" s="94"/>
      <c r="RCP488" s="95"/>
      <c r="RCQ488" s="96"/>
      <c r="RCR488" s="97"/>
      <c r="RCS488" s="97"/>
      <c r="RCT488" s="97"/>
      <c r="RCU488" s="97"/>
      <c r="RCV488" s="97"/>
      <c r="RCW488" s="97"/>
      <c r="RCX488" s="97"/>
      <c r="RCY488" s="97"/>
      <c r="RDA488" s="94"/>
      <c r="RDB488" s="94"/>
      <c r="RDC488" s="95"/>
      <c r="RDD488" s="96"/>
      <c r="RDE488" s="97"/>
      <c r="RDF488" s="97"/>
      <c r="RDG488" s="97"/>
      <c r="RDH488" s="97"/>
      <c r="RDI488" s="97"/>
      <c r="RDJ488" s="97"/>
      <c r="RDK488" s="97"/>
      <c r="RDL488" s="97"/>
      <c r="RDN488" s="94"/>
      <c r="RDO488" s="94"/>
      <c r="RDP488" s="95"/>
      <c r="RDQ488" s="96"/>
      <c r="RDR488" s="97"/>
      <c r="RDS488" s="97"/>
      <c r="RDT488" s="97"/>
      <c r="RDU488" s="97"/>
      <c r="RDV488" s="97"/>
      <c r="RDW488" s="97"/>
      <c r="RDX488" s="97"/>
      <c r="RDY488" s="97"/>
      <c r="REA488" s="94"/>
      <c r="REB488" s="94"/>
      <c r="REC488" s="95"/>
      <c r="RED488" s="96"/>
      <c r="REE488" s="97"/>
      <c r="REF488" s="97"/>
      <c r="REG488" s="97"/>
      <c r="REH488" s="97"/>
      <c r="REI488" s="97"/>
      <c r="REJ488" s="97"/>
      <c r="REK488" s="97"/>
      <c r="REL488" s="97"/>
      <c r="REN488" s="94"/>
      <c r="REO488" s="94"/>
      <c r="REP488" s="95"/>
      <c r="REQ488" s="96"/>
      <c r="RER488" s="97"/>
      <c r="RES488" s="97"/>
      <c r="RET488" s="97"/>
      <c r="REU488" s="97"/>
      <c r="REV488" s="97"/>
      <c r="REW488" s="97"/>
      <c r="REX488" s="97"/>
      <c r="REY488" s="97"/>
      <c r="RFA488" s="94"/>
      <c r="RFB488" s="94"/>
      <c r="RFC488" s="95"/>
      <c r="RFD488" s="96"/>
      <c r="RFE488" s="97"/>
      <c r="RFF488" s="97"/>
      <c r="RFG488" s="97"/>
      <c r="RFH488" s="97"/>
      <c r="RFI488" s="97"/>
      <c r="RFJ488" s="97"/>
      <c r="RFK488" s="97"/>
      <c r="RFL488" s="97"/>
      <c r="RFN488" s="94"/>
      <c r="RFO488" s="94"/>
      <c r="RFP488" s="95"/>
      <c r="RFQ488" s="96"/>
      <c r="RFR488" s="97"/>
      <c r="RFS488" s="97"/>
      <c r="RFT488" s="97"/>
      <c r="RFU488" s="97"/>
      <c r="RFV488" s="97"/>
      <c r="RFW488" s="97"/>
      <c r="RFX488" s="97"/>
      <c r="RFY488" s="97"/>
      <c r="RGA488" s="94"/>
      <c r="RGB488" s="94"/>
      <c r="RGC488" s="95"/>
      <c r="RGD488" s="96"/>
      <c r="RGE488" s="97"/>
      <c r="RGF488" s="97"/>
      <c r="RGG488" s="97"/>
      <c r="RGH488" s="97"/>
      <c r="RGI488" s="97"/>
      <c r="RGJ488" s="97"/>
      <c r="RGK488" s="97"/>
      <c r="RGL488" s="97"/>
      <c r="RGN488" s="94"/>
      <c r="RGO488" s="94"/>
      <c r="RGP488" s="95"/>
      <c r="RGQ488" s="96"/>
      <c r="RGR488" s="97"/>
      <c r="RGS488" s="97"/>
      <c r="RGT488" s="97"/>
      <c r="RGU488" s="97"/>
      <c r="RGV488" s="97"/>
      <c r="RGW488" s="97"/>
      <c r="RGX488" s="97"/>
      <c r="RGY488" s="97"/>
      <c r="RHA488" s="94"/>
      <c r="RHB488" s="94"/>
      <c r="RHC488" s="95"/>
      <c r="RHD488" s="96"/>
      <c r="RHE488" s="97"/>
      <c r="RHF488" s="97"/>
      <c r="RHG488" s="97"/>
      <c r="RHH488" s="97"/>
      <c r="RHI488" s="97"/>
      <c r="RHJ488" s="97"/>
      <c r="RHK488" s="97"/>
      <c r="RHL488" s="97"/>
      <c r="RHN488" s="94"/>
      <c r="RHO488" s="94"/>
      <c r="RHP488" s="95"/>
      <c r="RHQ488" s="96"/>
      <c r="RHR488" s="97"/>
      <c r="RHS488" s="97"/>
      <c r="RHT488" s="97"/>
      <c r="RHU488" s="97"/>
      <c r="RHV488" s="97"/>
      <c r="RHW488" s="97"/>
      <c r="RHX488" s="97"/>
      <c r="RHY488" s="97"/>
      <c r="RIA488" s="94"/>
      <c r="RIB488" s="94"/>
      <c r="RIC488" s="95"/>
      <c r="RID488" s="96"/>
      <c r="RIE488" s="97"/>
      <c r="RIF488" s="97"/>
      <c r="RIG488" s="97"/>
      <c r="RIH488" s="97"/>
      <c r="RII488" s="97"/>
      <c r="RIJ488" s="97"/>
      <c r="RIK488" s="97"/>
      <c r="RIL488" s="97"/>
      <c r="RIN488" s="94"/>
      <c r="RIO488" s="94"/>
      <c r="RIP488" s="95"/>
      <c r="RIQ488" s="96"/>
      <c r="RIR488" s="97"/>
      <c r="RIS488" s="97"/>
      <c r="RIT488" s="97"/>
      <c r="RIU488" s="97"/>
      <c r="RIV488" s="97"/>
      <c r="RIW488" s="97"/>
      <c r="RIX488" s="97"/>
      <c r="RIY488" s="97"/>
      <c r="RJA488" s="94"/>
      <c r="RJB488" s="94"/>
      <c r="RJC488" s="95"/>
      <c r="RJD488" s="96"/>
      <c r="RJE488" s="97"/>
      <c r="RJF488" s="97"/>
      <c r="RJG488" s="97"/>
      <c r="RJH488" s="97"/>
      <c r="RJI488" s="97"/>
      <c r="RJJ488" s="97"/>
      <c r="RJK488" s="97"/>
      <c r="RJL488" s="97"/>
      <c r="RJN488" s="94"/>
      <c r="RJO488" s="94"/>
      <c r="RJP488" s="95"/>
      <c r="RJQ488" s="96"/>
      <c r="RJR488" s="97"/>
      <c r="RJS488" s="97"/>
      <c r="RJT488" s="97"/>
      <c r="RJU488" s="97"/>
      <c r="RJV488" s="97"/>
      <c r="RJW488" s="97"/>
      <c r="RJX488" s="97"/>
      <c r="RJY488" s="97"/>
      <c r="RKA488" s="94"/>
      <c r="RKB488" s="94"/>
      <c r="RKC488" s="95"/>
      <c r="RKD488" s="96"/>
      <c r="RKE488" s="97"/>
      <c r="RKF488" s="97"/>
      <c r="RKG488" s="97"/>
      <c r="RKH488" s="97"/>
      <c r="RKI488" s="97"/>
      <c r="RKJ488" s="97"/>
      <c r="RKK488" s="97"/>
      <c r="RKL488" s="97"/>
      <c r="RKN488" s="94"/>
      <c r="RKO488" s="94"/>
      <c r="RKP488" s="95"/>
      <c r="RKQ488" s="96"/>
      <c r="RKR488" s="97"/>
      <c r="RKS488" s="97"/>
      <c r="RKT488" s="97"/>
      <c r="RKU488" s="97"/>
      <c r="RKV488" s="97"/>
      <c r="RKW488" s="97"/>
      <c r="RKX488" s="97"/>
      <c r="RKY488" s="97"/>
      <c r="RLA488" s="94"/>
      <c r="RLB488" s="94"/>
      <c r="RLC488" s="95"/>
      <c r="RLD488" s="96"/>
      <c r="RLE488" s="97"/>
      <c r="RLF488" s="97"/>
      <c r="RLG488" s="97"/>
      <c r="RLH488" s="97"/>
      <c r="RLI488" s="97"/>
      <c r="RLJ488" s="97"/>
      <c r="RLK488" s="97"/>
      <c r="RLL488" s="97"/>
      <c r="RLN488" s="94"/>
      <c r="RLO488" s="94"/>
      <c r="RLP488" s="95"/>
      <c r="RLQ488" s="96"/>
      <c r="RLR488" s="97"/>
      <c r="RLS488" s="97"/>
      <c r="RLT488" s="97"/>
      <c r="RLU488" s="97"/>
      <c r="RLV488" s="97"/>
      <c r="RLW488" s="97"/>
      <c r="RLX488" s="97"/>
      <c r="RLY488" s="97"/>
      <c r="RMA488" s="94"/>
      <c r="RMB488" s="94"/>
      <c r="RMC488" s="95"/>
      <c r="RMD488" s="96"/>
      <c r="RME488" s="97"/>
      <c r="RMF488" s="97"/>
      <c r="RMG488" s="97"/>
      <c r="RMH488" s="97"/>
      <c r="RMI488" s="97"/>
      <c r="RMJ488" s="97"/>
      <c r="RMK488" s="97"/>
      <c r="RML488" s="97"/>
      <c r="RMN488" s="94"/>
      <c r="RMO488" s="94"/>
      <c r="RMP488" s="95"/>
      <c r="RMQ488" s="96"/>
      <c r="RMR488" s="97"/>
      <c r="RMS488" s="97"/>
      <c r="RMT488" s="97"/>
      <c r="RMU488" s="97"/>
      <c r="RMV488" s="97"/>
      <c r="RMW488" s="97"/>
      <c r="RMX488" s="97"/>
      <c r="RMY488" s="97"/>
      <c r="RNA488" s="94"/>
      <c r="RNB488" s="94"/>
      <c r="RNC488" s="95"/>
      <c r="RND488" s="96"/>
      <c r="RNE488" s="97"/>
      <c r="RNF488" s="97"/>
      <c r="RNG488" s="97"/>
      <c r="RNH488" s="97"/>
      <c r="RNI488" s="97"/>
      <c r="RNJ488" s="97"/>
      <c r="RNK488" s="97"/>
      <c r="RNL488" s="97"/>
      <c r="RNN488" s="94"/>
      <c r="RNO488" s="94"/>
      <c r="RNP488" s="95"/>
      <c r="RNQ488" s="96"/>
      <c r="RNR488" s="97"/>
      <c r="RNS488" s="97"/>
      <c r="RNT488" s="97"/>
      <c r="RNU488" s="97"/>
      <c r="RNV488" s="97"/>
      <c r="RNW488" s="97"/>
      <c r="RNX488" s="97"/>
      <c r="RNY488" s="97"/>
      <c r="ROA488" s="94"/>
      <c r="ROB488" s="94"/>
      <c r="ROC488" s="95"/>
      <c r="ROD488" s="96"/>
      <c r="ROE488" s="97"/>
      <c r="ROF488" s="97"/>
      <c r="ROG488" s="97"/>
      <c r="ROH488" s="97"/>
      <c r="ROI488" s="97"/>
      <c r="ROJ488" s="97"/>
      <c r="ROK488" s="97"/>
      <c r="ROL488" s="97"/>
      <c r="RON488" s="94"/>
      <c r="ROO488" s="94"/>
      <c r="ROP488" s="95"/>
      <c r="ROQ488" s="96"/>
      <c r="ROR488" s="97"/>
      <c r="ROS488" s="97"/>
      <c r="ROT488" s="97"/>
      <c r="ROU488" s="97"/>
      <c r="ROV488" s="97"/>
      <c r="ROW488" s="97"/>
      <c r="ROX488" s="97"/>
      <c r="ROY488" s="97"/>
      <c r="RPA488" s="94"/>
      <c r="RPB488" s="94"/>
      <c r="RPC488" s="95"/>
      <c r="RPD488" s="96"/>
      <c r="RPE488" s="97"/>
      <c r="RPF488" s="97"/>
      <c r="RPG488" s="97"/>
      <c r="RPH488" s="97"/>
      <c r="RPI488" s="97"/>
      <c r="RPJ488" s="97"/>
      <c r="RPK488" s="97"/>
      <c r="RPL488" s="97"/>
      <c r="RPN488" s="94"/>
      <c r="RPO488" s="94"/>
      <c r="RPP488" s="95"/>
      <c r="RPQ488" s="96"/>
      <c r="RPR488" s="97"/>
      <c r="RPS488" s="97"/>
      <c r="RPT488" s="97"/>
      <c r="RPU488" s="97"/>
      <c r="RPV488" s="97"/>
      <c r="RPW488" s="97"/>
      <c r="RPX488" s="97"/>
      <c r="RPY488" s="97"/>
      <c r="RQA488" s="94"/>
      <c r="RQB488" s="94"/>
      <c r="RQC488" s="95"/>
      <c r="RQD488" s="96"/>
      <c r="RQE488" s="97"/>
      <c r="RQF488" s="97"/>
      <c r="RQG488" s="97"/>
      <c r="RQH488" s="97"/>
      <c r="RQI488" s="97"/>
      <c r="RQJ488" s="97"/>
      <c r="RQK488" s="97"/>
      <c r="RQL488" s="97"/>
      <c r="RQN488" s="94"/>
      <c r="RQO488" s="94"/>
      <c r="RQP488" s="95"/>
      <c r="RQQ488" s="96"/>
      <c r="RQR488" s="97"/>
      <c r="RQS488" s="97"/>
      <c r="RQT488" s="97"/>
      <c r="RQU488" s="97"/>
      <c r="RQV488" s="97"/>
      <c r="RQW488" s="97"/>
      <c r="RQX488" s="97"/>
      <c r="RQY488" s="97"/>
      <c r="RRA488" s="94"/>
      <c r="RRB488" s="94"/>
      <c r="RRC488" s="95"/>
      <c r="RRD488" s="96"/>
      <c r="RRE488" s="97"/>
      <c r="RRF488" s="97"/>
      <c r="RRG488" s="97"/>
      <c r="RRH488" s="97"/>
      <c r="RRI488" s="97"/>
      <c r="RRJ488" s="97"/>
      <c r="RRK488" s="97"/>
      <c r="RRL488" s="97"/>
      <c r="RRN488" s="94"/>
      <c r="RRO488" s="94"/>
      <c r="RRP488" s="95"/>
      <c r="RRQ488" s="96"/>
      <c r="RRR488" s="97"/>
      <c r="RRS488" s="97"/>
      <c r="RRT488" s="97"/>
      <c r="RRU488" s="97"/>
      <c r="RRV488" s="97"/>
      <c r="RRW488" s="97"/>
      <c r="RRX488" s="97"/>
      <c r="RRY488" s="97"/>
      <c r="RSA488" s="94"/>
      <c r="RSB488" s="94"/>
      <c r="RSC488" s="95"/>
      <c r="RSD488" s="96"/>
      <c r="RSE488" s="97"/>
      <c r="RSF488" s="97"/>
      <c r="RSG488" s="97"/>
      <c r="RSH488" s="97"/>
      <c r="RSI488" s="97"/>
      <c r="RSJ488" s="97"/>
      <c r="RSK488" s="97"/>
      <c r="RSL488" s="97"/>
      <c r="RSN488" s="94"/>
      <c r="RSO488" s="94"/>
      <c r="RSP488" s="95"/>
      <c r="RSQ488" s="96"/>
      <c r="RSR488" s="97"/>
      <c r="RSS488" s="97"/>
      <c r="RST488" s="97"/>
      <c r="RSU488" s="97"/>
      <c r="RSV488" s="97"/>
      <c r="RSW488" s="97"/>
      <c r="RSX488" s="97"/>
      <c r="RSY488" s="97"/>
      <c r="RTA488" s="94"/>
      <c r="RTB488" s="94"/>
      <c r="RTC488" s="95"/>
      <c r="RTD488" s="96"/>
      <c r="RTE488" s="97"/>
      <c r="RTF488" s="97"/>
      <c r="RTG488" s="97"/>
      <c r="RTH488" s="97"/>
      <c r="RTI488" s="97"/>
      <c r="RTJ488" s="97"/>
      <c r="RTK488" s="97"/>
      <c r="RTL488" s="97"/>
      <c r="RTN488" s="94"/>
      <c r="RTO488" s="94"/>
      <c r="RTP488" s="95"/>
      <c r="RTQ488" s="96"/>
      <c r="RTR488" s="97"/>
      <c r="RTS488" s="97"/>
      <c r="RTT488" s="97"/>
      <c r="RTU488" s="97"/>
      <c r="RTV488" s="97"/>
      <c r="RTW488" s="97"/>
      <c r="RTX488" s="97"/>
      <c r="RTY488" s="97"/>
      <c r="RUA488" s="94"/>
      <c r="RUB488" s="94"/>
      <c r="RUC488" s="95"/>
      <c r="RUD488" s="96"/>
      <c r="RUE488" s="97"/>
      <c r="RUF488" s="97"/>
      <c r="RUG488" s="97"/>
      <c r="RUH488" s="97"/>
      <c r="RUI488" s="97"/>
      <c r="RUJ488" s="97"/>
      <c r="RUK488" s="97"/>
      <c r="RUL488" s="97"/>
      <c r="RUN488" s="94"/>
      <c r="RUO488" s="94"/>
      <c r="RUP488" s="95"/>
      <c r="RUQ488" s="96"/>
      <c r="RUR488" s="97"/>
      <c r="RUS488" s="97"/>
      <c r="RUT488" s="97"/>
      <c r="RUU488" s="97"/>
      <c r="RUV488" s="97"/>
      <c r="RUW488" s="97"/>
      <c r="RUX488" s="97"/>
      <c r="RUY488" s="97"/>
      <c r="RVA488" s="94"/>
      <c r="RVB488" s="94"/>
      <c r="RVC488" s="95"/>
      <c r="RVD488" s="96"/>
      <c r="RVE488" s="97"/>
      <c r="RVF488" s="97"/>
      <c r="RVG488" s="97"/>
      <c r="RVH488" s="97"/>
      <c r="RVI488" s="97"/>
      <c r="RVJ488" s="97"/>
      <c r="RVK488" s="97"/>
      <c r="RVL488" s="97"/>
      <c r="RVN488" s="94"/>
      <c r="RVO488" s="94"/>
      <c r="RVP488" s="95"/>
      <c r="RVQ488" s="96"/>
      <c r="RVR488" s="97"/>
      <c r="RVS488" s="97"/>
      <c r="RVT488" s="97"/>
      <c r="RVU488" s="97"/>
      <c r="RVV488" s="97"/>
      <c r="RVW488" s="97"/>
      <c r="RVX488" s="97"/>
      <c r="RVY488" s="97"/>
      <c r="RWA488" s="94"/>
      <c r="RWB488" s="94"/>
      <c r="RWC488" s="95"/>
      <c r="RWD488" s="96"/>
      <c r="RWE488" s="97"/>
      <c r="RWF488" s="97"/>
      <c r="RWG488" s="97"/>
      <c r="RWH488" s="97"/>
      <c r="RWI488" s="97"/>
      <c r="RWJ488" s="97"/>
      <c r="RWK488" s="97"/>
      <c r="RWL488" s="97"/>
      <c r="RWN488" s="94"/>
      <c r="RWO488" s="94"/>
      <c r="RWP488" s="95"/>
      <c r="RWQ488" s="96"/>
      <c r="RWR488" s="97"/>
      <c r="RWS488" s="97"/>
      <c r="RWT488" s="97"/>
      <c r="RWU488" s="97"/>
      <c r="RWV488" s="97"/>
      <c r="RWW488" s="97"/>
      <c r="RWX488" s="97"/>
      <c r="RWY488" s="97"/>
      <c r="RXA488" s="94"/>
      <c r="RXB488" s="94"/>
      <c r="RXC488" s="95"/>
      <c r="RXD488" s="96"/>
      <c r="RXE488" s="97"/>
      <c r="RXF488" s="97"/>
      <c r="RXG488" s="97"/>
      <c r="RXH488" s="97"/>
      <c r="RXI488" s="97"/>
      <c r="RXJ488" s="97"/>
      <c r="RXK488" s="97"/>
      <c r="RXL488" s="97"/>
      <c r="RXN488" s="94"/>
      <c r="RXO488" s="94"/>
      <c r="RXP488" s="95"/>
      <c r="RXQ488" s="96"/>
      <c r="RXR488" s="97"/>
      <c r="RXS488" s="97"/>
      <c r="RXT488" s="97"/>
      <c r="RXU488" s="97"/>
      <c r="RXV488" s="97"/>
      <c r="RXW488" s="97"/>
      <c r="RXX488" s="97"/>
      <c r="RXY488" s="97"/>
      <c r="RYA488" s="94"/>
      <c r="RYB488" s="94"/>
      <c r="RYC488" s="95"/>
      <c r="RYD488" s="96"/>
      <c r="RYE488" s="97"/>
      <c r="RYF488" s="97"/>
      <c r="RYG488" s="97"/>
      <c r="RYH488" s="97"/>
      <c r="RYI488" s="97"/>
      <c r="RYJ488" s="97"/>
      <c r="RYK488" s="97"/>
      <c r="RYL488" s="97"/>
      <c r="RYN488" s="94"/>
      <c r="RYO488" s="94"/>
      <c r="RYP488" s="95"/>
      <c r="RYQ488" s="96"/>
      <c r="RYR488" s="97"/>
      <c r="RYS488" s="97"/>
      <c r="RYT488" s="97"/>
      <c r="RYU488" s="97"/>
      <c r="RYV488" s="97"/>
      <c r="RYW488" s="97"/>
      <c r="RYX488" s="97"/>
      <c r="RYY488" s="97"/>
      <c r="RZA488" s="94"/>
      <c r="RZB488" s="94"/>
      <c r="RZC488" s="95"/>
      <c r="RZD488" s="96"/>
      <c r="RZE488" s="97"/>
      <c r="RZF488" s="97"/>
      <c r="RZG488" s="97"/>
      <c r="RZH488" s="97"/>
      <c r="RZI488" s="97"/>
      <c r="RZJ488" s="97"/>
      <c r="RZK488" s="97"/>
      <c r="RZL488" s="97"/>
      <c r="RZN488" s="94"/>
      <c r="RZO488" s="94"/>
      <c r="RZP488" s="95"/>
      <c r="RZQ488" s="96"/>
      <c r="RZR488" s="97"/>
      <c r="RZS488" s="97"/>
      <c r="RZT488" s="97"/>
      <c r="RZU488" s="97"/>
      <c r="RZV488" s="97"/>
      <c r="RZW488" s="97"/>
      <c r="RZX488" s="97"/>
      <c r="RZY488" s="97"/>
      <c r="SAA488" s="94"/>
      <c r="SAB488" s="94"/>
      <c r="SAC488" s="95"/>
      <c r="SAD488" s="96"/>
      <c r="SAE488" s="97"/>
      <c r="SAF488" s="97"/>
      <c r="SAG488" s="97"/>
      <c r="SAH488" s="97"/>
      <c r="SAI488" s="97"/>
      <c r="SAJ488" s="97"/>
      <c r="SAK488" s="97"/>
      <c r="SAL488" s="97"/>
      <c r="SAN488" s="94"/>
      <c r="SAO488" s="94"/>
      <c r="SAP488" s="95"/>
      <c r="SAQ488" s="96"/>
      <c r="SAR488" s="97"/>
      <c r="SAS488" s="97"/>
      <c r="SAT488" s="97"/>
      <c r="SAU488" s="97"/>
      <c r="SAV488" s="97"/>
      <c r="SAW488" s="97"/>
      <c r="SAX488" s="97"/>
      <c r="SAY488" s="97"/>
      <c r="SBA488" s="94"/>
      <c r="SBB488" s="94"/>
      <c r="SBC488" s="95"/>
      <c r="SBD488" s="96"/>
      <c r="SBE488" s="97"/>
      <c r="SBF488" s="97"/>
      <c r="SBG488" s="97"/>
      <c r="SBH488" s="97"/>
      <c r="SBI488" s="97"/>
      <c r="SBJ488" s="97"/>
      <c r="SBK488" s="97"/>
      <c r="SBL488" s="97"/>
      <c r="SBN488" s="94"/>
      <c r="SBO488" s="94"/>
      <c r="SBP488" s="95"/>
      <c r="SBQ488" s="96"/>
      <c r="SBR488" s="97"/>
      <c r="SBS488" s="97"/>
      <c r="SBT488" s="97"/>
      <c r="SBU488" s="97"/>
      <c r="SBV488" s="97"/>
      <c r="SBW488" s="97"/>
      <c r="SBX488" s="97"/>
      <c r="SBY488" s="97"/>
      <c r="SCA488" s="94"/>
      <c r="SCB488" s="94"/>
      <c r="SCC488" s="95"/>
      <c r="SCD488" s="96"/>
      <c r="SCE488" s="97"/>
      <c r="SCF488" s="97"/>
      <c r="SCG488" s="97"/>
      <c r="SCH488" s="97"/>
      <c r="SCI488" s="97"/>
      <c r="SCJ488" s="97"/>
      <c r="SCK488" s="97"/>
      <c r="SCL488" s="97"/>
      <c r="SCN488" s="94"/>
      <c r="SCO488" s="94"/>
      <c r="SCP488" s="95"/>
      <c r="SCQ488" s="96"/>
      <c r="SCR488" s="97"/>
      <c r="SCS488" s="97"/>
      <c r="SCT488" s="97"/>
      <c r="SCU488" s="97"/>
      <c r="SCV488" s="97"/>
      <c r="SCW488" s="97"/>
      <c r="SCX488" s="97"/>
      <c r="SCY488" s="97"/>
      <c r="SDA488" s="94"/>
      <c r="SDB488" s="94"/>
      <c r="SDC488" s="95"/>
      <c r="SDD488" s="96"/>
      <c r="SDE488" s="97"/>
      <c r="SDF488" s="97"/>
      <c r="SDG488" s="97"/>
      <c r="SDH488" s="97"/>
      <c r="SDI488" s="97"/>
      <c r="SDJ488" s="97"/>
      <c r="SDK488" s="97"/>
      <c r="SDL488" s="97"/>
      <c r="SDN488" s="94"/>
      <c r="SDO488" s="94"/>
      <c r="SDP488" s="95"/>
      <c r="SDQ488" s="96"/>
      <c r="SDR488" s="97"/>
      <c r="SDS488" s="97"/>
      <c r="SDT488" s="97"/>
      <c r="SDU488" s="97"/>
      <c r="SDV488" s="97"/>
      <c r="SDW488" s="97"/>
      <c r="SDX488" s="97"/>
      <c r="SDY488" s="97"/>
      <c r="SEA488" s="94"/>
      <c r="SEB488" s="94"/>
      <c r="SEC488" s="95"/>
      <c r="SED488" s="96"/>
      <c r="SEE488" s="97"/>
      <c r="SEF488" s="97"/>
      <c r="SEG488" s="97"/>
      <c r="SEH488" s="97"/>
      <c r="SEI488" s="97"/>
      <c r="SEJ488" s="97"/>
      <c r="SEK488" s="97"/>
      <c r="SEL488" s="97"/>
      <c r="SEN488" s="94"/>
      <c r="SEO488" s="94"/>
      <c r="SEP488" s="95"/>
      <c r="SEQ488" s="96"/>
      <c r="SER488" s="97"/>
      <c r="SES488" s="97"/>
      <c r="SET488" s="97"/>
      <c r="SEU488" s="97"/>
      <c r="SEV488" s="97"/>
      <c r="SEW488" s="97"/>
      <c r="SEX488" s="97"/>
      <c r="SEY488" s="97"/>
      <c r="SFA488" s="94"/>
      <c r="SFB488" s="94"/>
      <c r="SFC488" s="95"/>
      <c r="SFD488" s="96"/>
      <c r="SFE488" s="97"/>
      <c r="SFF488" s="97"/>
      <c r="SFG488" s="97"/>
      <c r="SFH488" s="97"/>
      <c r="SFI488" s="97"/>
      <c r="SFJ488" s="97"/>
      <c r="SFK488" s="97"/>
      <c r="SFL488" s="97"/>
      <c r="SFN488" s="94"/>
      <c r="SFO488" s="94"/>
      <c r="SFP488" s="95"/>
      <c r="SFQ488" s="96"/>
      <c r="SFR488" s="97"/>
      <c r="SFS488" s="97"/>
      <c r="SFT488" s="97"/>
      <c r="SFU488" s="97"/>
      <c r="SFV488" s="97"/>
      <c r="SFW488" s="97"/>
      <c r="SFX488" s="97"/>
      <c r="SFY488" s="97"/>
      <c r="SGA488" s="94"/>
      <c r="SGB488" s="94"/>
      <c r="SGC488" s="95"/>
      <c r="SGD488" s="96"/>
      <c r="SGE488" s="97"/>
      <c r="SGF488" s="97"/>
      <c r="SGG488" s="97"/>
      <c r="SGH488" s="97"/>
      <c r="SGI488" s="97"/>
      <c r="SGJ488" s="97"/>
      <c r="SGK488" s="97"/>
      <c r="SGL488" s="97"/>
      <c r="SGN488" s="94"/>
      <c r="SGO488" s="94"/>
      <c r="SGP488" s="95"/>
      <c r="SGQ488" s="96"/>
      <c r="SGR488" s="97"/>
      <c r="SGS488" s="97"/>
      <c r="SGT488" s="97"/>
      <c r="SGU488" s="97"/>
      <c r="SGV488" s="97"/>
      <c r="SGW488" s="97"/>
      <c r="SGX488" s="97"/>
      <c r="SGY488" s="97"/>
      <c r="SHA488" s="94"/>
      <c r="SHB488" s="94"/>
      <c r="SHC488" s="95"/>
      <c r="SHD488" s="96"/>
      <c r="SHE488" s="97"/>
      <c r="SHF488" s="97"/>
      <c r="SHG488" s="97"/>
      <c r="SHH488" s="97"/>
      <c r="SHI488" s="97"/>
      <c r="SHJ488" s="97"/>
      <c r="SHK488" s="97"/>
      <c r="SHL488" s="97"/>
      <c r="SHN488" s="94"/>
      <c r="SHO488" s="94"/>
      <c r="SHP488" s="95"/>
      <c r="SHQ488" s="96"/>
      <c r="SHR488" s="97"/>
      <c r="SHS488" s="97"/>
      <c r="SHT488" s="97"/>
      <c r="SHU488" s="97"/>
      <c r="SHV488" s="97"/>
      <c r="SHW488" s="97"/>
      <c r="SHX488" s="97"/>
      <c r="SHY488" s="97"/>
      <c r="SIA488" s="94"/>
      <c r="SIB488" s="94"/>
      <c r="SIC488" s="95"/>
      <c r="SID488" s="96"/>
      <c r="SIE488" s="97"/>
      <c r="SIF488" s="97"/>
      <c r="SIG488" s="97"/>
      <c r="SIH488" s="97"/>
      <c r="SII488" s="97"/>
      <c r="SIJ488" s="97"/>
      <c r="SIK488" s="97"/>
      <c r="SIL488" s="97"/>
      <c r="SIN488" s="94"/>
      <c r="SIO488" s="94"/>
      <c r="SIP488" s="95"/>
      <c r="SIQ488" s="96"/>
      <c r="SIR488" s="97"/>
      <c r="SIS488" s="97"/>
      <c r="SIT488" s="97"/>
      <c r="SIU488" s="97"/>
      <c r="SIV488" s="97"/>
      <c r="SIW488" s="97"/>
      <c r="SIX488" s="97"/>
      <c r="SIY488" s="97"/>
      <c r="SJA488" s="94"/>
      <c r="SJB488" s="94"/>
      <c r="SJC488" s="95"/>
      <c r="SJD488" s="96"/>
      <c r="SJE488" s="97"/>
      <c r="SJF488" s="97"/>
      <c r="SJG488" s="97"/>
      <c r="SJH488" s="97"/>
      <c r="SJI488" s="97"/>
      <c r="SJJ488" s="97"/>
      <c r="SJK488" s="97"/>
      <c r="SJL488" s="97"/>
      <c r="SJN488" s="94"/>
      <c r="SJO488" s="94"/>
      <c r="SJP488" s="95"/>
      <c r="SJQ488" s="96"/>
      <c r="SJR488" s="97"/>
      <c r="SJS488" s="97"/>
      <c r="SJT488" s="97"/>
      <c r="SJU488" s="97"/>
      <c r="SJV488" s="97"/>
      <c r="SJW488" s="97"/>
      <c r="SJX488" s="97"/>
      <c r="SJY488" s="97"/>
      <c r="SKA488" s="94"/>
      <c r="SKB488" s="94"/>
      <c r="SKC488" s="95"/>
      <c r="SKD488" s="96"/>
      <c r="SKE488" s="97"/>
      <c r="SKF488" s="97"/>
      <c r="SKG488" s="97"/>
      <c r="SKH488" s="97"/>
      <c r="SKI488" s="97"/>
      <c r="SKJ488" s="97"/>
      <c r="SKK488" s="97"/>
      <c r="SKL488" s="97"/>
      <c r="SKN488" s="94"/>
      <c r="SKO488" s="94"/>
      <c r="SKP488" s="95"/>
      <c r="SKQ488" s="96"/>
      <c r="SKR488" s="97"/>
      <c r="SKS488" s="97"/>
      <c r="SKT488" s="97"/>
      <c r="SKU488" s="97"/>
      <c r="SKV488" s="97"/>
      <c r="SKW488" s="97"/>
      <c r="SKX488" s="97"/>
      <c r="SKY488" s="97"/>
      <c r="SLA488" s="94"/>
      <c r="SLB488" s="94"/>
      <c r="SLC488" s="95"/>
      <c r="SLD488" s="96"/>
      <c r="SLE488" s="97"/>
      <c r="SLF488" s="97"/>
      <c r="SLG488" s="97"/>
      <c r="SLH488" s="97"/>
      <c r="SLI488" s="97"/>
      <c r="SLJ488" s="97"/>
      <c r="SLK488" s="97"/>
      <c r="SLL488" s="97"/>
      <c r="SLN488" s="94"/>
      <c r="SLO488" s="94"/>
      <c r="SLP488" s="95"/>
      <c r="SLQ488" s="96"/>
      <c r="SLR488" s="97"/>
      <c r="SLS488" s="97"/>
      <c r="SLT488" s="97"/>
      <c r="SLU488" s="97"/>
      <c r="SLV488" s="97"/>
      <c r="SLW488" s="97"/>
      <c r="SLX488" s="97"/>
      <c r="SLY488" s="97"/>
      <c r="SMA488" s="94"/>
      <c r="SMB488" s="94"/>
      <c r="SMC488" s="95"/>
      <c r="SMD488" s="96"/>
      <c r="SME488" s="97"/>
      <c r="SMF488" s="97"/>
      <c r="SMG488" s="97"/>
      <c r="SMH488" s="97"/>
      <c r="SMI488" s="97"/>
      <c r="SMJ488" s="97"/>
      <c r="SMK488" s="97"/>
      <c r="SML488" s="97"/>
      <c r="SMN488" s="94"/>
      <c r="SMO488" s="94"/>
      <c r="SMP488" s="95"/>
      <c r="SMQ488" s="96"/>
      <c r="SMR488" s="97"/>
      <c r="SMS488" s="97"/>
      <c r="SMT488" s="97"/>
      <c r="SMU488" s="97"/>
      <c r="SMV488" s="97"/>
      <c r="SMW488" s="97"/>
      <c r="SMX488" s="97"/>
      <c r="SMY488" s="97"/>
      <c r="SNA488" s="94"/>
      <c r="SNB488" s="94"/>
      <c r="SNC488" s="95"/>
      <c r="SND488" s="96"/>
      <c r="SNE488" s="97"/>
      <c r="SNF488" s="97"/>
      <c r="SNG488" s="97"/>
      <c r="SNH488" s="97"/>
      <c r="SNI488" s="97"/>
      <c r="SNJ488" s="97"/>
      <c r="SNK488" s="97"/>
      <c r="SNL488" s="97"/>
      <c r="SNN488" s="94"/>
      <c r="SNO488" s="94"/>
      <c r="SNP488" s="95"/>
      <c r="SNQ488" s="96"/>
      <c r="SNR488" s="97"/>
      <c r="SNS488" s="97"/>
      <c r="SNT488" s="97"/>
      <c r="SNU488" s="97"/>
      <c r="SNV488" s="97"/>
      <c r="SNW488" s="97"/>
      <c r="SNX488" s="97"/>
      <c r="SNY488" s="97"/>
      <c r="SOA488" s="94"/>
      <c r="SOB488" s="94"/>
      <c r="SOC488" s="95"/>
      <c r="SOD488" s="96"/>
      <c r="SOE488" s="97"/>
      <c r="SOF488" s="97"/>
      <c r="SOG488" s="97"/>
      <c r="SOH488" s="97"/>
      <c r="SOI488" s="97"/>
      <c r="SOJ488" s="97"/>
      <c r="SOK488" s="97"/>
      <c r="SOL488" s="97"/>
      <c r="SON488" s="94"/>
      <c r="SOO488" s="94"/>
      <c r="SOP488" s="95"/>
      <c r="SOQ488" s="96"/>
      <c r="SOR488" s="97"/>
      <c r="SOS488" s="97"/>
      <c r="SOT488" s="97"/>
      <c r="SOU488" s="97"/>
      <c r="SOV488" s="97"/>
      <c r="SOW488" s="97"/>
      <c r="SOX488" s="97"/>
      <c r="SOY488" s="97"/>
      <c r="SPA488" s="94"/>
      <c r="SPB488" s="94"/>
      <c r="SPC488" s="95"/>
      <c r="SPD488" s="96"/>
      <c r="SPE488" s="97"/>
      <c r="SPF488" s="97"/>
      <c r="SPG488" s="97"/>
      <c r="SPH488" s="97"/>
      <c r="SPI488" s="97"/>
      <c r="SPJ488" s="97"/>
      <c r="SPK488" s="97"/>
      <c r="SPL488" s="97"/>
      <c r="SPN488" s="94"/>
      <c r="SPO488" s="94"/>
      <c r="SPP488" s="95"/>
      <c r="SPQ488" s="96"/>
      <c r="SPR488" s="97"/>
      <c r="SPS488" s="97"/>
      <c r="SPT488" s="97"/>
      <c r="SPU488" s="97"/>
      <c r="SPV488" s="97"/>
      <c r="SPW488" s="97"/>
      <c r="SPX488" s="97"/>
      <c r="SPY488" s="97"/>
      <c r="SQA488" s="94"/>
      <c r="SQB488" s="94"/>
      <c r="SQC488" s="95"/>
      <c r="SQD488" s="96"/>
      <c r="SQE488" s="97"/>
      <c r="SQF488" s="97"/>
      <c r="SQG488" s="97"/>
      <c r="SQH488" s="97"/>
      <c r="SQI488" s="97"/>
      <c r="SQJ488" s="97"/>
      <c r="SQK488" s="97"/>
      <c r="SQL488" s="97"/>
      <c r="SQN488" s="94"/>
      <c r="SQO488" s="94"/>
      <c r="SQP488" s="95"/>
      <c r="SQQ488" s="96"/>
      <c r="SQR488" s="97"/>
      <c r="SQS488" s="97"/>
      <c r="SQT488" s="97"/>
      <c r="SQU488" s="97"/>
      <c r="SQV488" s="97"/>
      <c r="SQW488" s="97"/>
      <c r="SQX488" s="97"/>
      <c r="SQY488" s="97"/>
      <c r="SRA488" s="94"/>
      <c r="SRB488" s="94"/>
      <c r="SRC488" s="95"/>
      <c r="SRD488" s="96"/>
      <c r="SRE488" s="97"/>
      <c r="SRF488" s="97"/>
      <c r="SRG488" s="97"/>
      <c r="SRH488" s="97"/>
      <c r="SRI488" s="97"/>
      <c r="SRJ488" s="97"/>
      <c r="SRK488" s="97"/>
      <c r="SRL488" s="97"/>
      <c r="SRN488" s="94"/>
      <c r="SRO488" s="94"/>
      <c r="SRP488" s="95"/>
      <c r="SRQ488" s="96"/>
      <c r="SRR488" s="97"/>
      <c r="SRS488" s="97"/>
      <c r="SRT488" s="97"/>
      <c r="SRU488" s="97"/>
      <c r="SRV488" s="97"/>
      <c r="SRW488" s="97"/>
      <c r="SRX488" s="97"/>
      <c r="SRY488" s="97"/>
      <c r="SSA488" s="94"/>
      <c r="SSB488" s="94"/>
      <c r="SSC488" s="95"/>
      <c r="SSD488" s="96"/>
      <c r="SSE488" s="97"/>
      <c r="SSF488" s="97"/>
      <c r="SSG488" s="97"/>
      <c r="SSH488" s="97"/>
      <c r="SSI488" s="97"/>
      <c r="SSJ488" s="97"/>
      <c r="SSK488" s="97"/>
      <c r="SSL488" s="97"/>
      <c r="SSN488" s="94"/>
      <c r="SSO488" s="94"/>
      <c r="SSP488" s="95"/>
      <c r="SSQ488" s="96"/>
      <c r="SSR488" s="97"/>
      <c r="SSS488" s="97"/>
      <c r="SST488" s="97"/>
      <c r="SSU488" s="97"/>
      <c r="SSV488" s="97"/>
      <c r="SSW488" s="97"/>
      <c r="SSX488" s="97"/>
      <c r="SSY488" s="97"/>
      <c r="STA488" s="94"/>
      <c r="STB488" s="94"/>
      <c r="STC488" s="95"/>
      <c r="STD488" s="96"/>
      <c r="STE488" s="97"/>
      <c r="STF488" s="97"/>
      <c r="STG488" s="97"/>
      <c r="STH488" s="97"/>
      <c r="STI488" s="97"/>
      <c r="STJ488" s="97"/>
      <c r="STK488" s="97"/>
      <c r="STL488" s="97"/>
      <c r="STN488" s="94"/>
      <c r="STO488" s="94"/>
      <c r="STP488" s="95"/>
      <c r="STQ488" s="96"/>
      <c r="STR488" s="97"/>
      <c r="STS488" s="97"/>
      <c r="STT488" s="97"/>
      <c r="STU488" s="97"/>
      <c r="STV488" s="97"/>
      <c r="STW488" s="97"/>
      <c r="STX488" s="97"/>
      <c r="STY488" s="97"/>
      <c r="SUA488" s="94"/>
      <c r="SUB488" s="94"/>
      <c r="SUC488" s="95"/>
      <c r="SUD488" s="96"/>
      <c r="SUE488" s="97"/>
      <c r="SUF488" s="97"/>
      <c r="SUG488" s="97"/>
      <c r="SUH488" s="97"/>
      <c r="SUI488" s="97"/>
      <c r="SUJ488" s="97"/>
      <c r="SUK488" s="97"/>
      <c r="SUL488" s="97"/>
      <c r="SUN488" s="94"/>
      <c r="SUO488" s="94"/>
      <c r="SUP488" s="95"/>
      <c r="SUQ488" s="96"/>
      <c r="SUR488" s="97"/>
      <c r="SUS488" s="97"/>
      <c r="SUT488" s="97"/>
      <c r="SUU488" s="97"/>
      <c r="SUV488" s="97"/>
      <c r="SUW488" s="97"/>
      <c r="SUX488" s="97"/>
      <c r="SUY488" s="97"/>
      <c r="SVA488" s="94"/>
      <c r="SVB488" s="94"/>
      <c r="SVC488" s="95"/>
      <c r="SVD488" s="96"/>
      <c r="SVE488" s="97"/>
      <c r="SVF488" s="97"/>
      <c r="SVG488" s="97"/>
      <c r="SVH488" s="97"/>
      <c r="SVI488" s="97"/>
      <c r="SVJ488" s="97"/>
      <c r="SVK488" s="97"/>
      <c r="SVL488" s="97"/>
      <c r="SVN488" s="94"/>
      <c r="SVO488" s="94"/>
      <c r="SVP488" s="95"/>
      <c r="SVQ488" s="96"/>
      <c r="SVR488" s="97"/>
      <c r="SVS488" s="97"/>
      <c r="SVT488" s="97"/>
      <c r="SVU488" s="97"/>
      <c r="SVV488" s="97"/>
      <c r="SVW488" s="97"/>
      <c r="SVX488" s="97"/>
      <c r="SVY488" s="97"/>
      <c r="SWA488" s="94"/>
      <c r="SWB488" s="94"/>
      <c r="SWC488" s="95"/>
      <c r="SWD488" s="96"/>
      <c r="SWE488" s="97"/>
      <c r="SWF488" s="97"/>
      <c r="SWG488" s="97"/>
      <c r="SWH488" s="97"/>
      <c r="SWI488" s="97"/>
      <c r="SWJ488" s="97"/>
      <c r="SWK488" s="97"/>
      <c r="SWL488" s="97"/>
      <c r="SWN488" s="94"/>
      <c r="SWO488" s="94"/>
      <c r="SWP488" s="95"/>
      <c r="SWQ488" s="96"/>
      <c r="SWR488" s="97"/>
      <c r="SWS488" s="97"/>
      <c r="SWT488" s="97"/>
      <c r="SWU488" s="97"/>
      <c r="SWV488" s="97"/>
      <c r="SWW488" s="97"/>
      <c r="SWX488" s="97"/>
      <c r="SWY488" s="97"/>
      <c r="SXA488" s="94"/>
      <c r="SXB488" s="94"/>
      <c r="SXC488" s="95"/>
      <c r="SXD488" s="96"/>
      <c r="SXE488" s="97"/>
      <c r="SXF488" s="97"/>
      <c r="SXG488" s="97"/>
      <c r="SXH488" s="97"/>
      <c r="SXI488" s="97"/>
      <c r="SXJ488" s="97"/>
      <c r="SXK488" s="97"/>
      <c r="SXL488" s="97"/>
      <c r="SXN488" s="94"/>
      <c r="SXO488" s="94"/>
      <c r="SXP488" s="95"/>
      <c r="SXQ488" s="96"/>
      <c r="SXR488" s="97"/>
      <c r="SXS488" s="97"/>
      <c r="SXT488" s="97"/>
      <c r="SXU488" s="97"/>
      <c r="SXV488" s="97"/>
      <c r="SXW488" s="97"/>
      <c r="SXX488" s="97"/>
      <c r="SXY488" s="97"/>
      <c r="SYA488" s="94"/>
      <c r="SYB488" s="94"/>
      <c r="SYC488" s="95"/>
      <c r="SYD488" s="96"/>
      <c r="SYE488" s="97"/>
      <c r="SYF488" s="97"/>
      <c r="SYG488" s="97"/>
      <c r="SYH488" s="97"/>
      <c r="SYI488" s="97"/>
      <c r="SYJ488" s="97"/>
      <c r="SYK488" s="97"/>
      <c r="SYL488" s="97"/>
      <c r="SYN488" s="94"/>
      <c r="SYO488" s="94"/>
      <c r="SYP488" s="95"/>
      <c r="SYQ488" s="96"/>
      <c r="SYR488" s="97"/>
      <c r="SYS488" s="97"/>
      <c r="SYT488" s="97"/>
      <c r="SYU488" s="97"/>
      <c r="SYV488" s="97"/>
      <c r="SYW488" s="97"/>
      <c r="SYX488" s="97"/>
      <c r="SYY488" s="97"/>
      <c r="SZA488" s="94"/>
      <c r="SZB488" s="94"/>
      <c r="SZC488" s="95"/>
      <c r="SZD488" s="96"/>
      <c r="SZE488" s="97"/>
      <c r="SZF488" s="97"/>
      <c r="SZG488" s="97"/>
      <c r="SZH488" s="97"/>
      <c r="SZI488" s="97"/>
      <c r="SZJ488" s="97"/>
      <c r="SZK488" s="97"/>
      <c r="SZL488" s="97"/>
      <c r="SZN488" s="94"/>
      <c r="SZO488" s="94"/>
      <c r="SZP488" s="95"/>
      <c r="SZQ488" s="96"/>
      <c r="SZR488" s="97"/>
      <c r="SZS488" s="97"/>
      <c r="SZT488" s="97"/>
      <c r="SZU488" s="97"/>
      <c r="SZV488" s="97"/>
      <c r="SZW488" s="97"/>
      <c r="SZX488" s="97"/>
      <c r="SZY488" s="97"/>
      <c r="TAA488" s="94"/>
      <c r="TAB488" s="94"/>
      <c r="TAC488" s="95"/>
      <c r="TAD488" s="96"/>
      <c r="TAE488" s="97"/>
      <c r="TAF488" s="97"/>
      <c r="TAG488" s="97"/>
      <c r="TAH488" s="97"/>
      <c r="TAI488" s="97"/>
      <c r="TAJ488" s="97"/>
      <c r="TAK488" s="97"/>
      <c r="TAL488" s="97"/>
      <c r="TAN488" s="94"/>
      <c r="TAO488" s="94"/>
      <c r="TAP488" s="95"/>
      <c r="TAQ488" s="96"/>
      <c r="TAR488" s="97"/>
      <c r="TAS488" s="97"/>
      <c r="TAT488" s="97"/>
      <c r="TAU488" s="97"/>
      <c r="TAV488" s="97"/>
      <c r="TAW488" s="97"/>
      <c r="TAX488" s="97"/>
      <c r="TAY488" s="97"/>
      <c r="TBA488" s="94"/>
      <c r="TBB488" s="94"/>
      <c r="TBC488" s="95"/>
      <c r="TBD488" s="96"/>
      <c r="TBE488" s="97"/>
      <c r="TBF488" s="97"/>
      <c r="TBG488" s="97"/>
      <c r="TBH488" s="97"/>
      <c r="TBI488" s="97"/>
      <c r="TBJ488" s="97"/>
      <c r="TBK488" s="97"/>
      <c r="TBL488" s="97"/>
      <c r="TBN488" s="94"/>
      <c r="TBO488" s="94"/>
      <c r="TBP488" s="95"/>
      <c r="TBQ488" s="96"/>
      <c r="TBR488" s="97"/>
      <c r="TBS488" s="97"/>
      <c r="TBT488" s="97"/>
      <c r="TBU488" s="97"/>
      <c r="TBV488" s="97"/>
      <c r="TBW488" s="97"/>
      <c r="TBX488" s="97"/>
      <c r="TBY488" s="97"/>
      <c r="TCA488" s="94"/>
      <c r="TCB488" s="94"/>
      <c r="TCC488" s="95"/>
      <c r="TCD488" s="96"/>
      <c r="TCE488" s="97"/>
      <c r="TCF488" s="97"/>
      <c r="TCG488" s="97"/>
      <c r="TCH488" s="97"/>
      <c r="TCI488" s="97"/>
      <c r="TCJ488" s="97"/>
      <c r="TCK488" s="97"/>
      <c r="TCL488" s="97"/>
      <c r="TCN488" s="94"/>
      <c r="TCO488" s="94"/>
      <c r="TCP488" s="95"/>
      <c r="TCQ488" s="96"/>
      <c r="TCR488" s="97"/>
      <c r="TCS488" s="97"/>
      <c r="TCT488" s="97"/>
      <c r="TCU488" s="97"/>
      <c r="TCV488" s="97"/>
      <c r="TCW488" s="97"/>
      <c r="TCX488" s="97"/>
      <c r="TCY488" s="97"/>
      <c r="TDA488" s="94"/>
      <c r="TDB488" s="94"/>
      <c r="TDC488" s="95"/>
      <c r="TDD488" s="96"/>
      <c r="TDE488" s="97"/>
      <c r="TDF488" s="97"/>
      <c r="TDG488" s="97"/>
      <c r="TDH488" s="97"/>
      <c r="TDI488" s="97"/>
      <c r="TDJ488" s="97"/>
      <c r="TDK488" s="97"/>
      <c r="TDL488" s="97"/>
      <c r="TDN488" s="94"/>
      <c r="TDO488" s="94"/>
      <c r="TDP488" s="95"/>
      <c r="TDQ488" s="96"/>
      <c r="TDR488" s="97"/>
      <c r="TDS488" s="97"/>
      <c r="TDT488" s="97"/>
      <c r="TDU488" s="97"/>
      <c r="TDV488" s="97"/>
      <c r="TDW488" s="97"/>
      <c r="TDX488" s="97"/>
      <c r="TDY488" s="97"/>
      <c r="TEA488" s="94"/>
      <c r="TEB488" s="94"/>
      <c r="TEC488" s="95"/>
      <c r="TED488" s="96"/>
      <c r="TEE488" s="97"/>
      <c r="TEF488" s="97"/>
      <c r="TEG488" s="97"/>
      <c r="TEH488" s="97"/>
      <c r="TEI488" s="97"/>
      <c r="TEJ488" s="97"/>
      <c r="TEK488" s="97"/>
      <c r="TEL488" s="97"/>
      <c r="TEN488" s="94"/>
      <c r="TEO488" s="94"/>
      <c r="TEP488" s="95"/>
      <c r="TEQ488" s="96"/>
      <c r="TER488" s="97"/>
      <c r="TES488" s="97"/>
      <c r="TET488" s="97"/>
      <c r="TEU488" s="97"/>
      <c r="TEV488" s="97"/>
      <c r="TEW488" s="97"/>
      <c r="TEX488" s="97"/>
      <c r="TEY488" s="97"/>
      <c r="TFA488" s="94"/>
      <c r="TFB488" s="94"/>
      <c r="TFC488" s="95"/>
      <c r="TFD488" s="96"/>
      <c r="TFE488" s="97"/>
      <c r="TFF488" s="97"/>
      <c r="TFG488" s="97"/>
      <c r="TFH488" s="97"/>
      <c r="TFI488" s="97"/>
      <c r="TFJ488" s="97"/>
      <c r="TFK488" s="97"/>
      <c r="TFL488" s="97"/>
      <c r="TFN488" s="94"/>
      <c r="TFO488" s="94"/>
      <c r="TFP488" s="95"/>
      <c r="TFQ488" s="96"/>
      <c r="TFR488" s="97"/>
      <c r="TFS488" s="97"/>
      <c r="TFT488" s="97"/>
      <c r="TFU488" s="97"/>
      <c r="TFV488" s="97"/>
      <c r="TFW488" s="97"/>
      <c r="TFX488" s="97"/>
      <c r="TFY488" s="97"/>
      <c r="TGA488" s="94"/>
      <c r="TGB488" s="94"/>
      <c r="TGC488" s="95"/>
      <c r="TGD488" s="96"/>
      <c r="TGE488" s="97"/>
      <c r="TGF488" s="97"/>
      <c r="TGG488" s="97"/>
      <c r="TGH488" s="97"/>
      <c r="TGI488" s="97"/>
      <c r="TGJ488" s="97"/>
      <c r="TGK488" s="97"/>
      <c r="TGL488" s="97"/>
      <c r="TGN488" s="94"/>
      <c r="TGO488" s="94"/>
      <c r="TGP488" s="95"/>
      <c r="TGQ488" s="96"/>
      <c r="TGR488" s="97"/>
      <c r="TGS488" s="97"/>
      <c r="TGT488" s="97"/>
      <c r="TGU488" s="97"/>
      <c r="TGV488" s="97"/>
      <c r="TGW488" s="97"/>
      <c r="TGX488" s="97"/>
      <c r="TGY488" s="97"/>
      <c r="THA488" s="94"/>
      <c r="THB488" s="94"/>
      <c r="THC488" s="95"/>
      <c r="THD488" s="96"/>
      <c r="THE488" s="97"/>
      <c r="THF488" s="97"/>
      <c r="THG488" s="97"/>
      <c r="THH488" s="97"/>
      <c r="THI488" s="97"/>
      <c r="THJ488" s="97"/>
      <c r="THK488" s="97"/>
      <c r="THL488" s="97"/>
      <c r="THN488" s="94"/>
      <c r="THO488" s="94"/>
      <c r="THP488" s="95"/>
      <c r="THQ488" s="96"/>
      <c r="THR488" s="97"/>
      <c r="THS488" s="97"/>
      <c r="THT488" s="97"/>
      <c r="THU488" s="97"/>
      <c r="THV488" s="97"/>
      <c r="THW488" s="97"/>
      <c r="THX488" s="97"/>
      <c r="THY488" s="97"/>
      <c r="TIA488" s="94"/>
      <c r="TIB488" s="94"/>
      <c r="TIC488" s="95"/>
      <c r="TID488" s="96"/>
      <c r="TIE488" s="97"/>
      <c r="TIF488" s="97"/>
      <c r="TIG488" s="97"/>
      <c r="TIH488" s="97"/>
      <c r="TII488" s="97"/>
      <c r="TIJ488" s="97"/>
      <c r="TIK488" s="97"/>
      <c r="TIL488" s="97"/>
      <c r="TIN488" s="94"/>
      <c r="TIO488" s="94"/>
      <c r="TIP488" s="95"/>
      <c r="TIQ488" s="96"/>
      <c r="TIR488" s="97"/>
      <c r="TIS488" s="97"/>
      <c r="TIT488" s="97"/>
      <c r="TIU488" s="97"/>
      <c r="TIV488" s="97"/>
      <c r="TIW488" s="97"/>
      <c r="TIX488" s="97"/>
      <c r="TIY488" s="97"/>
      <c r="TJA488" s="94"/>
      <c r="TJB488" s="94"/>
      <c r="TJC488" s="95"/>
      <c r="TJD488" s="96"/>
      <c r="TJE488" s="97"/>
      <c r="TJF488" s="97"/>
      <c r="TJG488" s="97"/>
      <c r="TJH488" s="97"/>
      <c r="TJI488" s="97"/>
      <c r="TJJ488" s="97"/>
      <c r="TJK488" s="97"/>
      <c r="TJL488" s="97"/>
      <c r="TJN488" s="94"/>
      <c r="TJO488" s="94"/>
      <c r="TJP488" s="95"/>
      <c r="TJQ488" s="96"/>
      <c r="TJR488" s="97"/>
      <c r="TJS488" s="97"/>
      <c r="TJT488" s="97"/>
      <c r="TJU488" s="97"/>
      <c r="TJV488" s="97"/>
      <c r="TJW488" s="97"/>
      <c r="TJX488" s="97"/>
      <c r="TJY488" s="97"/>
      <c r="TKA488" s="94"/>
      <c r="TKB488" s="94"/>
      <c r="TKC488" s="95"/>
      <c r="TKD488" s="96"/>
      <c r="TKE488" s="97"/>
      <c r="TKF488" s="97"/>
      <c r="TKG488" s="97"/>
      <c r="TKH488" s="97"/>
      <c r="TKI488" s="97"/>
      <c r="TKJ488" s="97"/>
      <c r="TKK488" s="97"/>
      <c r="TKL488" s="97"/>
      <c r="TKN488" s="94"/>
      <c r="TKO488" s="94"/>
      <c r="TKP488" s="95"/>
      <c r="TKQ488" s="96"/>
      <c r="TKR488" s="97"/>
      <c r="TKS488" s="97"/>
      <c r="TKT488" s="97"/>
      <c r="TKU488" s="97"/>
      <c r="TKV488" s="97"/>
      <c r="TKW488" s="97"/>
      <c r="TKX488" s="97"/>
      <c r="TKY488" s="97"/>
      <c r="TLA488" s="94"/>
      <c r="TLB488" s="94"/>
      <c r="TLC488" s="95"/>
      <c r="TLD488" s="96"/>
      <c r="TLE488" s="97"/>
      <c r="TLF488" s="97"/>
      <c r="TLG488" s="97"/>
      <c r="TLH488" s="97"/>
      <c r="TLI488" s="97"/>
      <c r="TLJ488" s="97"/>
      <c r="TLK488" s="97"/>
      <c r="TLL488" s="97"/>
      <c r="TLN488" s="94"/>
      <c r="TLO488" s="94"/>
      <c r="TLP488" s="95"/>
      <c r="TLQ488" s="96"/>
      <c r="TLR488" s="97"/>
      <c r="TLS488" s="97"/>
      <c r="TLT488" s="97"/>
      <c r="TLU488" s="97"/>
      <c r="TLV488" s="97"/>
      <c r="TLW488" s="97"/>
      <c r="TLX488" s="97"/>
      <c r="TLY488" s="97"/>
      <c r="TMA488" s="94"/>
      <c r="TMB488" s="94"/>
      <c r="TMC488" s="95"/>
      <c r="TMD488" s="96"/>
      <c r="TME488" s="97"/>
      <c r="TMF488" s="97"/>
      <c r="TMG488" s="97"/>
      <c r="TMH488" s="97"/>
      <c r="TMI488" s="97"/>
      <c r="TMJ488" s="97"/>
      <c r="TMK488" s="97"/>
      <c r="TML488" s="97"/>
      <c r="TMN488" s="94"/>
      <c r="TMO488" s="94"/>
      <c r="TMP488" s="95"/>
      <c r="TMQ488" s="96"/>
      <c r="TMR488" s="97"/>
      <c r="TMS488" s="97"/>
      <c r="TMT488" s="97"/>
      <c r="TMU488" s="97"/>
      <c r="TMV488" s="97"/>
      <c r="TMW488" s="97"/>
      <c r="TMX488" s="97"/>
      <c r="TMY488" s="97"/>
      <c r="TNA488" s="94"/>
      <c r="TNB488" s="94"/>
      <c r="TNC488" s="95"/>
      <c r="TND488" s="96"/>
      <c r="TNE488" s="97"/>
      <c r="TNF488" s="97"/>
      <c r="TNG488" s="97"/>
      <c r="TNH488" s="97"/>
      <c r="TNI488" s="97"/>
      <c r="TNJ488" s="97"/>
      <c r="TNK488" s="97"/>
      <c r="TNL488" s="97"/>
      <c r="TNN488" s="94"/>
      <c r="TNO488" s="94"/>
      <c r="TNP488" s="95"/>
      <c r="TNQ488" s="96"/>
      <c r="TNR488" s="97"/>
      <c r="TNS488" s="97"/>
      <c r="TNT488" s="97"/>
      <c r="TNU488" s="97"/>
      <c r="TNV488" s="97"/>
      <c r="TNW488" s="97"/>
      <c r="TNX488" s="97"/>
      <c r="TNY488" s="97"/>
      <c r="TOA488" s="94"/>
      <c r="TOB488" s="94"/>
      <c r="TOC488" s="95"/>
      <c r="TOD488" s="96"/>
      <c r="TOE488" s="97"/>
      <c r="TOF488" s="97"/>
      <c r="TOG488" s="97"/>
      <c r="TOH488" s="97"/>
      <c r="TOI488" s="97"/>
      <c r="TOJ488" s="97"/>
      <c r="TOK488" s="97"/>
      <c r="TOL488" s="97"/>
      <c r="TON488" s="94"/>
      <c r="TOO488" s="94"/>
      <c r="TOP488" s="95"/>
      <c r="TOQ488" s="96"/>
      <c r="TOR488" s="97"/>
      <c r="TOS488" s="97"/>
      <c r="TOT488" s="97"/>
      <c r="TOU488" s="97"/>
      <c r="TOV488" s="97"/>
      <c r="TOW488" s="97"/>
      <c r="TOX488" s="97"/>
      <c r="TOY488" s="97"/>
      <c r="TPA488" s="94"/>
      <c r="TPB488" s="94"/>
      <c r="TPC488" s="95"/>
      <c r="TPD488" s="96"/>
      <c r="TPE488" s="97"/>
      <c r="TPF488" s="97"/>
      <c r="TPG488" s="97"/>
      <c r="TPH488" s="97"/>
      <c r="TPI488" s="97"/>
      <c r="TPJ488" s="97"/>
      <c r="TPK488" s="97"/>
      <c r="TPL488" s="97"/>
      <c r="TPN488" s="94"/>
      <c r="TPO488" s="94"/>
      <c r="TPP488" s="95"/>
      <c r="TPQ488" s="96"/>
      <c r="TPR488" s="97"/>
      <c r="TPS488" s="97"/>
      <c r="TPT488" s="97"/>
      <c r="TPU488" s="97"/>
      <c r="TPV488" s="97"/>
      <c r="TPW488" s="97"/>
      <c r="TPX488" s="97"/>
      <c r="TPY488" s="97"/>
      <c r="TQA488" s="94"/>
      <c r="TQB488" s="94"/>
      <c r="TQC488" s="95"/>
      <c r="TQD488" s="96"/>
      <c r="TQE488" s="97"/>
      <c r="TQF488" s="97"/>
      <c r="TQG488" s="97"/>
      <c r="TQH488" s="97"/>
      <c r="TQI488" s="97"/>
      <c r="TQJ488" s="97"/>
      <c r="TQK488" s="97"/>
      <c r="TQL488" s="97"/>
      <c r="TQN488" s="94"/>
      <c r="TQO488" s="94"/>
      <c r="TQP488" s="95"/>
      <c r="TQQ488" s="96"/>
      <c r="TQR488" s="97"/>
      <c r="TQS488" s="97"/>
      <c r="TQT488" s="97"/>
      <c r="TQU488" s="97"/>
      <c r="TQV488" s="97"/>
      <c r="TQW488" s="97"/>
      <c r="TQX488" s="97"/>
      <c r="TQY488" s="97"/>
      <c r="TRA488" s="94"/>
      <c r="TRB488" s="94"/>
      <c r="TRC488" s="95"/>
      <c r="TRD488" s="96"/>
      <c r="TRE488" s="97"/>
      <c r="TRF488" s="97"/>
      <c r="TRG488" s="97"/>
      <c r="TRH488" s="97"/>
      <c r="TRI488" s="97"/>
      <c r="TRJ488" s="97"/>
      <c r="TRK488" s="97"/>
      <c r="TRL488" s="97"/>
      <c r="TRN488" s="94"/>
      <c r="TRO488" s="94"/>
      <c r="TRP488" s="95"/>
      <c r="TRQ488" s="96"/>
      <c r="TRR488" s="97"/>
      <c r="TRS488" s="97"/>
      <c r="TRT488" s="97"/>
      <c r="TRU488" s="97"/>
      <c r="TRV488" s="97"/>
      <c r="TRW488" s="97"/>
      <c r="TRX488" s="97"/>
      <c r="TRY488" s="97"/>
      <c r="TSA488" s="94"/>
      <c r="TSB488" s="94"/>
      <c r="TSC488" s="95"/>
      <c r="TSD488" s="96"/>
      <c r="TSE488" s="97"/>
      <c r="TSF488" s="97"/>
      <c r="TSG488" s="97"/>
      <c r="TSH488" s="97"/>
      <c r="TSI488" s="97"/>
      <c r="TSJ488" s="97"/>
      <c r="TSK488" s="97"/>
      <c r="TSL488" s="97"/>
      <c r="TSN488" s="94"/>
      <c r="TSO488" s="94"/>
      <c r="TSP488" s="95"/>
      <c r="TSQ488" s="96"/>
      <c r="TSR488" s="97"/>
      <c r="TSS488" s="97"/>
      <c r="TST488" s="97"/>
      <c r="TSU488" s="97"/>
      <c r="TSV488" s="97"/>
      <c r="TSW488" s="97"/>
      <c r="TSX488" s="97"/>
      <c r="TSY488" s="97"/>
      <c r="TTA488" s="94"/>
      <c r="TTB488" s="94"/>
      <c r="TTC488" s="95"/>
      <c r="TTD488" s="96"/>
      <c r="TTE488" s="97"/>
      <c r="TTF488" s="97"/>
      <c r="TTG488" s="97"/>
      <c r="TTH488" s="97"/>
      <c r="TTI488" s="97"/>
      <c r="TTJ488" s="97"/>
      <c r="TTK488" s="97"/>
      <c r="TTL488" s="97"/>
      <c r="TTN488" s="94"/>
      <c r="TTO488" s="94"/>
      <c r="TTP488" s="95"/>
      <c r="TTQ488" s="96"/>
      <c r="TTR488" s="97"/>
      <c r="TTS488" s="97"/>
      <c r="TTT488" s="97"/>
      <c r="TTU488" s="97"/>
      <c r="TTV488" s="97"/>
      <c r="TTW488" s="97"/>
      <c r="TTX488" s="97"/>
      <c r="TTY488" s="97"/>
      <c r="TUA488" s="94"/>
      <c r="TUB488" s="94"/>
      <c r="TUC488" s="95"/>
      <c r="TUD488" s="96"/>
      <c r="TUE488" s="97"/>
      <c r="TUF488" s="97"/>
      <c r="TUG488" s="97"/>
      <c r="TUH488" s="97"/>
      <c r="TUI488" s="97"/>
      <c r="TUJ488" s="97"/>
      <c r="TUK488" s="97"/>
      <c r="TUL488" s="97"/>
      <c r="TUN488" s="94"/>
      <c r="TUO488" s="94"/>
      <c r="TUP488" s="95"/>
      <c r="TUQ488" s="96"/>
      <c r="TUR488" s="97"/>
      <c r="TUS488" s="97"/>
      <c r="TUT488" s="97"/>
      <c r="TUU488" s="97"/>
      <c r="TUV488" s="97"/>
      <c r="TUW488" s="97"/>
      <c r="TUX488" s="97"/>
      <c r="TUY488" s="97"/>
      <c r="TVA488" s="94"/>
      <c r="TVB488" s="94"/>
      <c r="TVC488" s="95"/>
      <c r="TVD488" s="96"/>
      <c r="TVE488" s="97"/>
      <c r="TVF488" s="97"/>
      <c r="TVG488" s="97"/>
      <c r="TVH488" s="97"/>
      <c r="TVI488" s="97"/>
      <c r="TVJ488" s="97"/>
      <c r="TVK488" s="97"/>
      <c r="TVL488" s="97"/>
      <c r="TVN488" s="94"/>
      <c r="TVO488" s="94"/>
      <c r="TVP488" s="95"/>
      <c r="TVQ488" s="96"/>
      <c r="TVR488" s="97"/>
      <c r="TVS488" s="97"/>
      <c r="TVT488" s="97"/>
      <c r="TVU488" s="97"/>
      <c r="TVV488" s="97"/>
      <c r="TVW488" s="97"/>
      <c r="TVX488" s="97"/>
      <c r="TVY488" s="97"/>
      <c r="TWA488" s="94"/>
      <c r="TWB488" s="94"/>
      <c r="TWC488" s="95"/>
      <c r="TWD488" s="96"/>
      <c r="TWE488" s="97"/>
      <c r="TWF488" s="97"/>
      <c r="TWG488" s="97"/>
      <c r="TWH488" s="97"/>
      <c r="TWI488" s="97"/>
      <c r="TWJ488" s="97"/>
      <c r="TWK488" s="97"/>
      <c r="TWL488" s="97"/>
      <c r="TWN488" s="94"/>
      <c r="TWO488" s="94"/>
      <c r="TWP488" s="95"/>
      <c r="TWQ488" s="96"/>
      <c r="TWR488" s="97"/>
      <c r="TWS488" s="97"/>
      <c r="TWT488" s="97"/>
      <c r="TWU488" s="97"/>
      <c r="TWV488" s="97"/>
      <c r="TWW488" s="97"/>
      <c r="TWX488" s="97"/>
      <c r="TWY488" s="97"/>
      <c r="TXA488" s="94"/>
      <c r="TXB488" s="94"/>
      <c r="TXC488" s="95"/>
      <c r="TXD488" s="96"/>
      <c r="TXE488" s="97"/>
      <c r="TXF488" s="97"/>
      <c r="TXG488" s="97"/>
      <c r="TXH488" s="97"/>
      <c r="TXI488" s="97"/>
      <c r="TXJ488" s="97"/>
      <c r="TXK488" s="97"/>
      <c r="TXL488" s="97"/>
      <c r="TXN488" s="94"/>
      <c r="TXO488" s="94"/>
      <c r="TXP488" s="95"/>
      <c r="TXQ488" s="96"/>
      <c r="TXR488" s="97"/>
      <c r="TXS488" s="97"/>
      <c r="TXT488" s="97"/>
      <c r="TXU488" s="97"/>
      <c r="TXV488" s="97"/>
      <c r="TXW488" s="97"/>
      <c r="TXX488" s="97"/>
      <c r="TXY488" s="97"/>
      <c r="TYA488" s="94"/>
      <c r="TYB488" s="94"/>
      <c r="TYC488" s="95"/>
      <c r="TYD488" s="96"/>
      <c r="TYE488" s="97"/>
      <c r="TYF488" s="97"/>
      <c r="TYG488" s="97"/>
      <c r="TYH488" s="97"/>
      <c r="TYI488" s="97"/>
      <c r="TYJ488" s="97"/>
      <c r="TYK488" s="97"/>
      <c r="TYL488" s="97"/>
      <c r="TYN488" s="94"/>
      <c r="TYO488" s="94"/>
      <c r="TYP488" s="95"/>
      <c r="TYQ488" s="96"/>
      <c r="TYR488" s="97"/>
      <c r="TYS488" s="97"/>
      <c r="TYT488" s="97"/>
      <c r="TYU488" s="97"/>
      <c r="TYV488" s="97"/>
      <c r="TYW488" s="97"/>
      <c r="TYX488" s="97"/>
      <c r="TYY488" s="97"/>
      <c r="TZA488" s="94"/>
      <c r="TZB488" s="94"/>
      <c r="TZC488" s="95"/>
      <c r="TZD488" s="96"/>
      <c r="TZE488" s="97"/>
      <c r="TZF488" s="97"/>
      <c r="TZG488" s="97"/>
      <c r="TZH488" s="97"/>
      <c r="TZI488" s="97"/>
      <c r="TZJ488" s="97"/>
      <c r="TZK488" s="97"/>
      <c r="TZL488" s="97"/>
      <c r="TZN488" s="94"/>
      <c r="TZO488" s="94"/>
      <c r="TZP488" s="95"/>
      <c r="TZQ488" s="96"/>
      <c r="TZR488" s="97"/>
      <c r="TZS488" s="97"/>
      <c r="TZT488" s="97"/>
      <c r="TZU488" s="97"/>
      <c r="TZV488" s="97"/>
      <c r="TZW488" s="97"/>
      <c r="TZX488" s="97"/>
      <c r="TZY488" s="97"/>
      <c r="UAA488" s="94"/>
      <c r="UAB488" s="94"/>
      <c r="UAC488" s="95"/>
      <c r="UAD488" s="96"/>
      <c r="UAE488" s="97"/>
      <c r="UAF488" s="97"/>
      <c r="UAG488" s="97"/>
      <c r="UAH488" s="97"/>
      <c r="UAI488" s="97"/>
      <c r="UAJ488" s="97"/>
      <c r="UAK488" s="97"/>
      <c r="UAL488" s="97"/>
      <c r="UAN488" s="94"/>
      <c r="UAO488" s="94"/>
      <c r="UAP488" s="95"/>
      <c r="UAQ488" s="96"/>
      <c r="UAR488" s="97"/>
      <c r="UAS488" s="97"/>
      <c r="UAT488" s="97"/>
      <c r="UAU488" s="97"/>
      <c r="UAV488" s="97"/>
      <c r="UAW488" s="97"/>
      <c r="UAX488" s="97"/>
      <c r="UAY488" s="97"/>
      <c r="UBA488" s="94"/>
      <c r="UBB488" s="94"/>
      <c r="UBC488" s="95"/>
      <c r="UBD488" s="96"/>
      <c r="UBE488" s="97"/>
      <c r="UBF488" s="97"/>
      <c r="UBG488" s="97"/>
      <c r="UBH488" s="97"/>
      <c r="UBI488" s="97"/>
      <c r="UBJ488" s="97"/>
      <c r="UBK488" s="97"/>
      <c r="UBL488" s="97"/>
      <c r="UBN488" s="94"/>
      <c r="UBO488" s="94"/>
      <c r="UBP488" s="95"/>
      <c r="UBQ488" s="96"/>
      <c r="UBR488" s="97"/>
      <c r="UBS488" s="97"/>
      <c r="UBT488" s="97"/>
      <c r="UBU488" s="97"/>
      <c r="UBV488" s="97"/>
      <c r="UBW488" s="97"/>
      <c r="UBX488" s="97"/>
      <c r="UBY488" s="97"/>
      <c r="UCA488" s="94"/>
      <c r="UCB488" s="94"/>
      <c r="UCC488" s="95"/>
      <c r="UCD488" s="96"/>
      <c r="UCE488" s="97"/>
      <c r="UCF488" s="97"/>
      <c r="UCG488" s="97"/>
      <c r="UCH488" s="97"/>
      <c r="UCI488" s="97"/>
      <c r="UCJ488" s="97"/>
      <c r="UCK488" s="97"/>
      <c r="UCL488" s="97"/>
      <c r="UCN488" s="94"/>
      <c r="UCO488" s="94"/>
      <c r="UCP488" s="95"/>
      <c r="UCQ488" s="96"/>
      <c r="UCR488" s="97"/>
      <c r="UCS488" s="97"/>
      <c r="UCT488" s="97"/>
      <c r="UCU488" s="97"/>
      <c r="UCV488" s="97"/>
      <c r="UCW488" s="97"/>
      <c r="UCX488" s="97"/>
      <c r="UCY488" s="97"/>
      <c r="UDA488" s="94"/>
      <c r="UDB488" s="94"/>
      <c r="UDC488" s="95"/>
      <c r="UDD488" s="96"/>
      <c r="UDE488" s="97"/>
      <c r="UDF488" s="97"/>
      <c r="UDG488" s="97"/>
      <c r="UDH488" s="97"/>
      <c r="UDI488" s="97"/>
      <c r="UDJ488" s="97"/>
      <c r="UDK488" s="97"/>
      <c r="UDL488" s="97"/>
      <c r="UDN488" s="94"/>
      <c r="UDO488" s="94"/>
      <c r="UDP488" s="95"/>
      <c r="UDQ488" s="96"/>
      <c r="UDR488" s="97"/>
      <c r="UDS488" s="97"/>
      <c r="UDT488" s="97"/>
      <c r="UDU488" s="97"/>
      <c r="UDV488" s="97"/>
      <c r="UDW488" s="97"/>
      <c r="UDX488" s="97"/>
      <c r="UDY488" s="97"/>
      <c r="UEA488" s="94"/>
      <c r="UEB488" s="94"/>
      <c r="UEC488" s="95"/>
      <c r="UED488" s="96"/>
      <c r="UEE488" s="97"/>
      <c r="UEF488" s="97"/>
      <c r="UEG488" s="97"/>
      <c r="UEH488" s="97"/>
      <c r="UEI488" s="97"/>
      <c r="UEJ488" s="97"/>
      <c r="UEK488" s="97"/>
      <c r="UEL488" s="97"/>
      <c r="UEN488" s="94"/>
      <c r="UEO488" s="94"/>
      <c r="UEP488" s="95"/>
      <c r="UEQ488" s="96"/>
      <c r="UER488" s="97"/>
      <c r="UES488" s="97"/>
      <c r="UET488" s="97"/>
      <c r="UEU488" s="97"/>
      <c r="UEV488" s="97"/>
      <c r="UEW488" s="97"/>
      <c r="UEX488" s="97"/>
      <c r="UEY488" s="97"/>
      <c r="UFA488" s="94"/>
      <c r="UFB488" s="94"/>
      <c r="UFC488" s="95"/>
      <c r="UFD488" s="96"/>
      <c r="UFE488" s="97"/>
      <c r="UFF488" s="97"/>
      <c r="UFG488" s="97"/>
      <c r="UFH488" s="97"/>
      <c r="UFI488" s="97"/>
      <c r="UFJ488" s="97"/>
      <c r="UFK488" s="97"/>
      <c r="UFL488" s="97"/>
      <c r="UFN488" s="94"/>
      <c r="UFO488" s="94"/>
      <c r="UFP488" s="95"/>
      <c r="UFQ488" s="96"/>
      <c r="UFR488" s="97"/>
      <c r="UFS488" s="97"/>
      <c r="UFT488" s="97"/>
      <c r="UFU488" s="97"/>
      <c r="UFV488" s="97"/>
      <c r="UFW488" s="97"/>
      <c r="UFX488" s="97"/>
      <c r="UFY488" s="97"/>
      <c r="UGA488" s="94"/>
      <c r="UGB488" s="94"/>
      <c r="UGC488" s="95"/>
      <c r="UGD488" s="96"/>
      <c r="UGE488" s="97"/>
      <c r="UGF488" s="97"/>
      <c r="UGG488" s="97"/>
      <c r="UGH488" s="97"/>
      <c r="UGI488" s="97"/>
      <c r="UGJ488" s="97"/>
      <c r="UGK488" s="97"/>
      <c r="UGL488" s="97"/>
      <c r="UGN488" s="94"/>
      <c r="UGO488" s="94"/>
      <c r="UGP488" s="95"/>
      <c r="UGQ488" s="96"/>
      <c r="UGR488" s="97"/>
      <c r="UGS488" s="97"/>
      <c r="UGT488" s="97"/>
      <c r="UGU488" s="97"/>
      <c r="UGV488" s="97"/>
      <c r="UGW488" s="97"/>
      <c r="UGX488" s="97"/>
      <c r="UGY488" s="97"/>
      <c r="UHA488" s="94"/>
      <c r="UHB488" s="94"/>
      <c r="UHC488" s="95"/>
      <c r="UHD488" s="96"/>
      <c r="UHE488" s="97"/>
      <c r="UHF488" s="97"/>
      <c r="UHG488" s="97"/>
      <c r="UHH488" s="97"/>
      <c r="UHI488" s="97"/>
      <c r="UHJ488" s="97"/>
      <c r="UHK488" s="97"/>
      <c r="UHL488" s="97"/>
      <c r="UHN488" s="94"/>
      <c r="UHO488" s="94"/>
      <c r="UHP488" s="95"/>
      <c r="UHQ488" s="96"/>
      <c r="UHR488" s="97"/>
      <c r="UHS488" s="97"/>
      <c r="UHT488" s="97"/>
      <c r="UHU488" s="97"/>
      <c r="UHV488" s="97"/>
      <c r="UHW488" s="97"/>
      <c r="UHX488" s="97"/>
      <c r="UHY488" s="97"/>
      <c r="UIA488" s="94"/>
      <c r="UIB488" s="94"/>
      <c r="UIC488" s="95"/>
      <c r="UID488" s="96"/>
      <c r="UIE488" s="97"/>
      <c r="UIF488" s="97"/>
      <c r="UIG488" s="97"/>
      <c r="UIH488" s="97"/>
      <c r="UII488" s="97"/>
      <c r="UIJ488" s="97"/>
      <c r="UIK488" s="97"/>
      <c r="UIL488" s="97"/>
      <c r="UIN488" s="94"/>
      <c r="UIO488" s="94"/>
      <c r="UIP488" s="95"/>
      <c r="UIQ488" s="96"/>
      <c r="UIR488" s="97"/>
      <c r="UIS488" s="97"/>
      <c r="UIT488" s="97"/>
      <c r="UIU488" s="97"/>
      <c r="UIV488" s="97"/>
      <c r="UIW488" s="97"/>
      <c r="UIX488" s="97"/>
      <c r="UIY488" s="97"/>
      <c r="UJA488" s="94"/>
      <c r="UJB488" s="94"/>
      <c r="UJC488" s="95"/>
      <c r="UJD488" s="96"/>
      <c r="UJE488" s="97"/>
      <c r="UJF488" s="97"/>
      <c r="UJG488" s="97"/>
      <c r="UJH488" s="97"/>
      <c r="UJI488" s="97"/>
      <c r="UJJ488" s="97"/>
      <c r="UJK488" s="97"/>
      <c r="UJL488" s="97"/>
      <c r="UJN488" s="94"/>
      <c r="UJO488" s="94"/>
      <c r="UJP488" s="95"/>
      <c r="UJQ488" s="96"/>
      <c r="UJR488" s="97"/>
      <c r="UJS488" s="97"/>
      <c r="UJT488" s="97"/>
      <c r="UJU488" s="97"/>
      <c r="UJV488" s="97"/>
      <c r="UJW488" s="97"/>
      <c r="UJX488" s="97"/>
      <c r="UJY488" s="97"/>
      <c r="UKA488" s="94"/>
      <c r="UKB488" s="94"/>
      <c r="UKC488" s="95"/>
      <c r="UKD488" s="96"/>
      <c r="UKE488" s="97"/>
      <c r="UKF488" s="97"/>
      <c r="UKG488" s="97"/>
      <c r="UKH488" s="97"/>
      <c r="UKI488" s="97"/>
      <c r="UKJ488" s="97"/>
      <c r="UKK488" s="97"/>
      <c r="UKL488" s="97"/>
      <c r="UKN488" s="94"/>
      <c r="UKO488" s="94"/>
      <c r="UKP488" s="95"/>
      <c r="UKQ488" s="96"/>
      <c r="UKR488" s="97"/>
      <c r="UKS488" s="97"/>
      <c r="UKT488" s="97"/>
      <c r="UKU488" s="97"/>
      <c r="UKV488" s="97"/>
      <c r="UKW488" s="97"/>
      <c r="UKX488" s="97"/>
      <c r="UKY488" s="97"/>
      <c r="ULA488" s="94"/>
      <c r="ULB488" s="94"/>
      <c r="ULC488" s="95"/>
      <c r="ULD488" s="96"/>
      <c r="ULE488" s="97"/>
      <c r="ULF488" s="97"/>
      <c r="ULG488" s="97"/>
      <c r="ULH488" s="97"/>
      <c r="ULI488" s="97"/>
      <c r="ULJ488" s="97"/>
      <c r="ULK488" s="97"/>
      <c r="ULL488" s="97"/>
      <c r="ULN488" s="94"/>
      <c r="ULO488" s="94"/>
      <c r="ULP488" s="95"/>
      <c r="ULQ488" s="96"/>
      <c r="ULR488" s="97"/>
      <c r="ULS488" s="97"/>
      <c r="ULT488" s="97"/>
      <c r="ULU488" s="97"/>
      <c r="ULV488" s="97"/>
      <c r="ULW488" s="97"/>
      <c r="ULX488" s="97"/>
      <c r="ULY488" s="97"/>
      <c r="UMA488" s="94"/>
      <c r="UMB488" s="94"/>
      <c r="UMC488" s="95"/>
      <c r="UMD488" s="96"/>
      <c r="UME488" s="97"/>
      <c r="UMF488" s="97"/>
      <c r="UMG488" s="97"/>
      <c r="UMH488" s="97"/>
      <c r="UMI488" s="97"/>
      <c r="UMJ488" s="97"/>
      <c r="UMK488" s="97"/>
      <c r="UML488" s="97"/>
      <c r="UMN488" s="94"/>
      <c r="UMO488" s="94"/>
      <c r="UMP488" s="95"/>
      <c r="UMQ488" s="96"/>
      <c r="UMR488" s="97"/>
      <c r="UMS488" s="97"/>
      <c r="UMT488" s="97"/>
      <c r="UMU488" s="97"/>
      <c r="UMV488" s="97"/>
      <c r="UMW488" s="97"/>
      <c r="UMX488" s="97"/>
      <c r="UMY488" s="97"/>
      <c r="UNA488" s="94"/>
      <c r="UNB488" s="94"/>
      <c r="UNC488" s="95"/>
      <c r="UND488" s="96"/>
      <c r="UNE488" s="97"/>
      <c r="UNF488" s="97"/>
      <c r="UNG488" s="97"/>
      <c r="UNH488" s="97"/>
      <c r="UNI488" s="97"/>
      <c r="UNJ488" s="97"/>
      <c r="UNK488" s="97"/>
      <c r="UNL488" s="97"/>
      <c r="UNN488" s="94"/>
      <c r="UNO488" s="94"/>
      <c r="UNP488" s="95"/>
      <c r="UNQ488" s="96"/>
      <c r="UNR488" s="97"/>
      <c r="UNS488" s="97"/>
      <c r="UNT488" s="97"/>
      <c r="UNU488" s="97"/>
      <c r="UNV488" s="97"/>
      <c r="UNW488" s="97"/>
      <c r="UNX488" s="97"/>
      <c r="UNY488" s="97"/>
      <c r="UOA488" s="94"/>
      <c r="UOB488" s="94"/>
      <c r="UOC488" s="95"/>
      <c r="UOD488" s="96"/>
      <c r="UOE488" s="97"/>
      <c r="UOF488" s="97"/>
      <c r="UOG488" s="97"/>
      <c r="UOH488" s="97"/>
      <c r="UOI488" s="97"/>
      <c r="UOJ488" s="97"/>
      <c r="UOK488" s="97"/>
      <c r="UOL488" s="97"/>
      <c r="UON488" s="94"/>
      <c r="UOO488" s="94"/>
      <c r="UOP488" s="95"/>
      <c r="UOQ488" s="96"/>
      <c r="UOR488" s="97"/>
      <c r="UOS488" s="97"/>
      <c r="UOT488" s="97"/>
      <c r="UOU488" s="97"/>
      <c r="UOV488" s="97"/>
      <c r="UOW488" s="97"/>
      <c r="UOX488" s="97"/>
      <c r="UOY488" s="97"/>
      <c r="UPA488" s="94"/>
      <c r="UPB488" s="94"/>
      <c r="UPC488" s="95"/>
      <c r="UPD488" s="96"/>
      <c r="UPE488" s="97"/>
      <c r="UPF488" s="97"/>
      <c r="UPG488" s="97"/>
      <c r="UPH488" s="97"/>
      <c r="UPI488" s="97"/>
      <c r="UPJ488" s="97"/>
      <c r="UPK488" s="97"/>
      <c r="UPL488" s="97"/>
      <c r="UPN488" s="94"/>
      <c r="UPO488" s="94"/>
      <c r="UPP488" s="95"/>
      <c r="UPQ488" s="96"/>
      <c r="UPR488" s="97"/>
      <c r="UPS488" s="97"/>
      <c r="UPT488" s="97"/>
      <c r="UPU488" s="97"/>
      <c r="UPV488" s="97"/>
      <c r="UPW488" s="97"/>
      <c r="UPX488" s="97"/>
      <c r="UPY488" s="97"/>
      <c r="UQA488" s="94"/>
      <c r="UQB488" s="94"/>
      <c r="UQC488" s="95"/>
      <c r="UQD488" s="96"/>
      <c r="UQE488" s="97"/>
      <c r="UQF488" s="97"/>
      <c r="UQG488" s="97"/>
      <c r="UQH488" s="97"/>
      <c r="UQI488" s="97"/>
      <c r="UQJ488" s="97"/>
      <c r="UQK488" s="97"/>
      <c r="UQL488" s="97"/>
      <c r="UQN488" s="94"/>
      <c r="UQO488" s="94"/>
      <c r="UQP488" s="95"/>
      <c r="UQQ488" s="96"/>
      <c r="UQR488" s="97"/>
      <c r="UQS488" s="97"/>
      <c r="UQT488" s="97"/>
      <c r="UQU488" s="97"/>
      <c r="UQV488" s="97"/>
      <c r="UQW488" s="97"/>
      <c r="UQX488" s="97"/>
      <c r="UQY488" s="97"/>
      <c r="URA488" s="94"/>
      <c r="URB488" s="94"/>
      <c r="URC488" s="95"/>
      <c r="URD488" s="96"/>
      <c r="URE488" s="97"/>
      <c r="URF488" s="97"/>
      <c r="URG488" s="97"/>
      <c r="URH488" s="97"/>
      <c r="URI488" s="97"/>
      <c r="URJ488" s="97"/>
      <c r="URK488" s="97"/>
      <c r="URL488" s="97"/>
      <c r="URN488" s="94"/>
      <c r="URO488" s="94"/>
      <c r="URP488" s="95"/>
      <c r="URQ488" s="96"/>
      <c r="URR488" s="97"/>
      <c r="URS488" s="97"/>
      <c r="URT488" s="97"/>
      <c r="URU488" s="97"/>
      <c r="URV488" s="97"/>
      <c r="URW488" s="97"/>
      <c r="URX488" s="97"/>
      <c r="URY488" s="97"/>
      <c r="USA488" s="94"/>
      <c r="USB488" s="94"/>
      <c r="USC488" s="95"/>
      <c r="USD488" s="96"/>
      <c r="USE488" s="97"/>
      <c r="USF488" s="97"/>
      <c r="USG488" s="97"/>
      <c r="USH488" s="97"/>
      <c r="USI488" s="97"/>
      <c r="USJ488" s="97"/>
      <c r="USK488" s="97"/>
      <c r="USL488" s="97"/>
      <c r="USN488" s="94"/>
      <c r="USO488" s="94"/>
      <c r="USP488" s="95"/>
      <c r="USQ488" s="96"/>
      <c r="USR488" s="97"/>
      <c r="USS488" s="97"/>
      <c r="UST488" s="97"/>
      <c r="USU488" s="97"/>
      <c r="USV488" s="97"/>
      <c r="USW488" s="97"/>
      <c r="USX488" s="97"/>
      <c r="USY488" s="97"/>
      <c r="UTA488" s="94"/>
      <c r="UTB488" s="94"/>
      <c r="UTC488" s="95"/>
      <c r="UTD488" s="96"/>
      <c r="UTE488" s="97"/>
      <c r="UTF488" s="97"/>
      <c r="UTG488" s="97"/>
      <c r="UTH488" s="97"/>
      <c r="UTI488" s="97"/>
      <c r="UTJ488" s="97"/>
      <c r="UTK488" s="97"/>
      <c r="UTL488" s="97"/>
      <c r="UTN488" s="94"/>
      <c r="UTO488" s="94"/>
      <c r="UTP488" s="95"/>
      <c r="UTQ488" s="96"/>
      <c r="UTR488" s="97"/>
      <c r="UTS488" s="97"/>
      <c r="UTT488" s="97"/>
      <c r="UTU488" s="97"/>
      <c r="UTV488" s="97"/>
      <c r="UTW488" s="97"/>
      <c r="UTX488" s="97"/>
      <c r="UTY488" s="97"/>
      <c r="UUA488" s="94"/>
      <c r="UUB488" s="94"/>
      <c r="UUC488" s="95"/>
      <c r="UUD488" s="96"/>
      <c r="UUE488" s="97"/>
      <c r="UUF488" s="97"/>
      <c r="UUG488" s="97"/>
      <c r="UUH488" s="97"/>
      <c r="UUI488" s="97"/>
      <c r="UUJ488" s="97"/>
      <c r="UUK488" s="97"/>
      <c r="UUL488" s="97"/>
      <c r="UUN488" s="94"/>
      <c r="UUO488" s="94"/>
      <c r="UUP488" s="95"/>
      <c r="UUQ488" s="96"/>
      <c r="UUR488" s="97"/>
      <c r="UUS488" s="97"/>
      <c r="UUT488" s="97"/>
      <c r="UUU488" s="97"/>
      <c r="UUV488" s="97"/>
      <c r="UUW488" s="97"/>
      <c r="UUX488" s="97"/>
      <c r="UUY488" s="97"/>
      <c r="UVA488" s="94"/>
      <c r="UVB488" s="94"/>
      <c r="UVC488" s="95"/>
      <c r="UVD488" s="96"/>
      <c r="UVE488" s="97"/>
      <c r="UVF488" s="97"/>
      <c r="UVG488" s="97"/>
      <c r="UVH488" s="97"/>
      <c r="UVI488" s="97"/>
      <c r="UVJ488" s="97"/>
      <c r="UVK488" s="97"/>
      <c r="UVL488" s="97"/>
      <c r="UVN488" s="94"/>
      <c r="UVO488" s="94"/>
      <c r="UVP488" s="95"/>
      <c r="UVQ488" s="96"/>
      <c r="UVR488" s="97"/>
      <c r="UVS488" s="97"/>
      <c r="UVT488" s="97"/>
      <c r="UVU488" s="97"/>
      <c r="UVV488" s="97"/>
      <c r="UVW488" s="97"/>
      <c r="UVX488" s="97"/>
      <c r="UVY488" s="97"/>
      <c r="UWA488" s="94"/>
      <c r="UWB488" s="94"/>
      <c r="UWC488" s="95"/>
      <c r="UWD488" s="96"/>
      <c r="UWE488" s="97"/>
      <c r="UWF488" s="97"/>
      <c r="UWG488" s="97"/>
      <c r="UWH488" s="97"/>
      <c r="UWI488" s="97"/>
      <c r="UWJ488" s="97"/>
      <c r="UWK488" s="97"/>
      <c r="UWL488" s="97"/>
      <c r="UWN488" s="94"/>
      <c r="UWO488" s="94"/>
      <c r="UWP488" s="95"/>
      <c r="UWQ488" s="96"/>
      <c r="UWR488" s="97"/>
      <c r="UWS488" s="97"/>
      <c r="UWT488" s="97"/>
      <c r="UWU488" s="97"/>
      <c r="UWV488" s="97"/>
      <c r="UWW488" s="97"/>
      <c r="UWX488" s="97"/>
      <c r="UWY488" s="97"/>
      <c r="UXA488" s="94"/>
      <c r="UXB488" s="94"/>
      <c r="UXC488" s="95"/>
      <c r="UXD488" s="96"/>
      <c r="UXE488" s="97"/>
      <c r="UXF488" s="97"/>
      <c r="UXG488" s="97"/>
      <c r="UXH488" s="97"/>
      <c r="UXI488" s="97"/>
      <c r="UXJ488" s="97"/>
      <c r="UXK488" s="97"/>
      <c r="UXL488" s="97"/>
      <c r="UXN488" s="94"/>
      <c r="UXO488" s="94"/>
      <c r="UXP488" s="95"/>
      <c r="UXQ488" s="96"/>
      <c r="UXR488" s="97"/>
      <c r="UXS488" s="97"/>
      <c r="UXT488" s="97"/>
      <c r="UXU488" s="97"/>
      <c r="UXV488" s="97"/>
      <c r="UXW488" s="97"/>
      <c r="UXX488" s="97"/>
      <c r="UXY488" s="97"/>
      <c r="UYA488" s="94"/>
      <c r="UYB488" s="94"/>
      <c r="UYC488" s="95"/>
      <c r="UYD488" s="96"/>
      <c r="UYE488" s="97"/>
      <c r="UYF488" s="97"/>
      <c r="UYG488" s="97"/>
      <c r="UYH488" s="97"/>
      <c r="UYI488" s="97"/>
      <c r="UYJ488" s="97"/>
      <c r="UYK488" s="97"/>
      <c r="UYL488" s="97"/>
      <c r="UYN488" s="94"/>
      <c r="UYO488" s="94"/>
      <c r="UYP488" s="95"/>
      <c r="UYQ488" s="96"/>
      <c r="UYR488" s="97"/>
      <c r="UYS488" s="97"/>
      <c r="UYT488" s="97"/>
      <c r="UYU488" s="97"/>
      <c r="UYV488" s="97"/>
      <c r="UYW488" s="97"/>
      <c r="UYX488" s="97"/>
      <c r="UYY488" s="97"/>
      <c r="UZA488" s="94"/>
      <c r="UZB488" s="94"/>
      <c r="UZC488" s="95"/>
      <c r="UZD488" s="96"/>
      <c r="UZE488" s="97"/>
      <c r="UZF488" s="97"/>
      <c r="UZG488" s="97"/>
      <c r="UZH488" s="97"/>
      <c r="UZI488" s="97"/>
      <c r="UZJ488" s="97"/>
      <c r="UZK488" s="97"/>
      <c r="UZL488" s="97"/>
      <c r="UZN488" s="94"/>
      <c r="UZO488" s="94"/>
      <c r="UZP488" s="95"/>
      <c r="UZQ488" s="96"/>
      <c r="UZR488" s="97"/>
      <c r="UZS488" s="97"/>
      <c r="UZT488" s="97"/>
      <c r="UZU488" s="97"/>
      <c r="UZV488" s="97"/>
      <c r="UZW488" s="97"/>
      <c r="UZX488" s="97"/>
      <c r="UZY488" s="97"/>
      <c r="VAA488" s="94"/>
      <c r="VAB488" s="94"/>
      <c r="VAC488" s="95"/>
      <c r="VAD488" s="96"/>
      <c r="VAE488" s="97"/>
      <c r="VAF488" s="97"/>
      <c r="VAG488" s="97"/>
      <c r="VAH488" s="97"/>
      <c r="VAI488" s="97"/>
      <c r="VAJ488" s="97"/>
      <c r="VAK488" s="97"/>
      <c r="VAL488" s="97"/>
      <c r="VAN488" s="94"/>
      <c r="VAO488" s="94"/>
      <c r="VAP488" s="95"/>
      <c r="VAQ488" s="96"/>
      <c r="VAR488" s="97"/>
      <c r="VAS488" s="97"/>
      <c r="VAT488" s="97"/>
      <c r="VAU488" s="97"/>
      <c r="VAV488" s="97"/>
      <c r="VAW488" s="97"/>
      <c r="VAX488" s="97"/>
      <c r="VAY488" s="97"/>
      <c r="VBA488" s="94"/>
      <c r="VBB488" s="94"/>
      <c r="VBC488" s="95"/>
      <c r="VBD488" s="96"/>
      <c r="VBE488" s="97"/>
      <c r="VBF488" s="97"/>
      <c r="VBG488" s="97"/>
      <c r="VBH488" s="97"/>
      <c r="VBI488" s="97"/>
      <c r="VBJ488" s="97"/>
      <c r="VBK488" s="97"/>
      <c r="VBL488" s="97"/>
      <c r="VBN488" s="94"/>
      <c r="VBO488" s="94"/>
      <c r="VBP488" s="95"/>
      <c r="VBQ488" s="96"/>
      <c r="VBR488" s="97"/>
      <c r="VBS488" s="97"/>
      <c r="VBT488" s="97"/>
      <c r="VBU488" s="97"/>
      <c r="VBV488" s="97"/>
      <c r="VBW488" s="97"/>
      <c r="VBX488" s="97"/>
      <c r="VBY488" s="97"/>
      <c r="VCA488" s="94"/>
      <c r="VCB488" s="94"/>
      <c r="VCC488" s="95"/>
      <c r="VCD488" s="96"/>
      <c r="VCE488" s="97"/>
      <c r="VCF488" s="97"/>
      <c r="VCG488" s="97"/>
      <c r="VCH488" s="97"/>
      <c r="VCI488" s="97"/>
      <c r="VCJ488" s="97"/>
      <c r="VCK488" s="97"/>
      <c r="VCL488" s="97"/>
      <c r="VCN488" s="94"/>
      <c r="VCO488" s="94"/>
      <c r="VCP488" s="95"/>
      <c r="VCQ488" s="96"/>
      <c r="VCR488" s="97"/>
      <c r="VCS488" s="97"/>
      <c r="VCT488" s="97"/>
      <c r="VCU488" s="97"/>
      <c r="VCV488" s="97"/>
      <c r="VCW488" s="97"/>
      <c r="VCX488" s="97"/>
      <c r="VCY488" s="97"/>
      <c r="VDA488" s="94"/>
      <c r="VDB488" s="94"/>
      <c r="VDC488" s="95"/>
      <c r="VDD488" s="96"/>
      <c r="VDE488" s="97"/>
      <c r="VDF488" s="97"/>
      <c r="VDG488" s="97"/>
      <c r="VDH488" s="97"/>
      <c r="VDI488" s="97"/>
      <c r="VDJ488" s="97"/>
      <c r="VDK488" s="97"/>
      <c r="VDL488" s="97"/>
      <c r="VDN488" s="94"/>
      <c r="VDO488" s="94"/>
      <c r="VDP488" s="95"/>
      <c r="VDQ488" s="96"/>
      <c r="VDR488" s="97"/>
      <c r="VDS488" s="97"/>
      <c r="VDT488" s="97"/>
      <c r="VDU488" s="97"/>
      <c r="VDV488" s="97"/>
      <c r="VDW488" s="97"/>
      <c r="VDX488" s="97"/>
      <c r="VDY488" s="97"/>
      <c r="VEA488" s="94"/>
      <c r="VEB488" s="94"/>
      <c r="VEC488" s="95"/>
      <c r="VED488" s="96"/>
      <c r="VEE488" s="97"/>
      <c r="VEF488" s="97"/>
      <c r="VEG488" s="97"/>
      <c r="VEH488" s="97"/>
      <c r="VEI488" s="97"/>
      <c r="VEJ488" s="97"/>
      <c r="VEK488" s="97"/>
      <c r="VEL488" s="97"/>
      <c r="VEN488" s="94"/>
      <c r="VEO488" s="94"/>
      <c r="VEP488" s="95"/>
      <c r="VEQ488" s="96"/>
      <c r="VER488" s="97"/>
      <c r="VES488" s="97"/>
      <c r="VET488" s="97"/>
      <c r="VEU488" s="97"/>
      <c r="VEV488" s="97"/>
      <c r="VEW488" s="97"/>
      <c r="VEX488" s="97"/>
      <c r="VEY488" s="97"/>
      <c r="VFA488" s="94"/>
      <c r="VFB488" s="94"/>
      <c r="VFC488" s="95"/>
      <c r="VFD488" s="96"/>
      <c r="VFE488" s="97"/>
      <c r="VFF488" s="97"/>
      <c r="VFG488" s="97"/>
      <c r="VFH488" s="97"/>
      <c r="VFI488" s="97"/>
      <c r="VFJ488" s="97"/>
      <c r="VFK488" s="97"/>
      <c r="VFL488" s="97"/>
      <c r="VFN488" s="94"/>
      <c r="VFO488" s="94"/>
      <c r="VFP488" s="95"/>
      <c r="VFQ488" s="96"/>
      <c r="VFR488" s="97"/>
      <c r="VFS488" s="97"/>
      <c r="VFT488" s="97"/>
      <c r="VFU488" s="97"/>
      <c r="VFV488" s="97"/>
      <c r="VFW488" s="97"/>
      <c r="VFX488" s="97"/>
      <c r="VFY488" s="97"/>
      <c r="VGA488" s="94"/>
      <c r="VGB488" s="94"/>
      <c r="VGC488" s="95"/>
      <c r="VGD488" s="96"/>
      <c r="VGE488" s="97"/>
      <c r="VGF488" s="97"/>
      <c r="VGG488" s="97"/>
      <c r="VGH488" s="97"/>
      <c r="VGI488" s="97"/>
      <c r="VGJ488" s="97"/>
      <c r="VGK488" s="97"/>
      <c r="VGL488" s="97"/>
      <c r="VGN488" s="94"/>
      <c r="VGO488" s="94"/>
      <c r="VGP488" s="95"/>
      <c r="VGQ488" s="96"/>
      <c r="VGR488" s="97"/>
      <c r="VGS488" s="97"/>
      <c r="VGT488" s="97"/>
      <c r="VGU488" s="97"/>
      <c r="VGV488" s="97"/>
      <c r="VGW488" s="97"/>
      <c r="VGX488" s="97"/>
      <c r="VGY488" s="97"/>
      <c r="VHA488" s="94"/>
      <c r="VHB488" s="94"/>
      <c r="VHC488" s="95"/>
      <c r="VHD488" s="96"/>
      <c r="VHE488" s="97"/>
      <c r="VHF488" s="97"/>
      <c r="VHG488" s="97"/>
      <c r="VHH488" s="97"/>
      <c r="VHI488" s="97"/>
      <c r="VHJ488" s="97"/>
      <c r="VHK488" s="97"/>
      <c r="VHL488" s="97"/>
      <c r="VHN488" s="94"/>
      <c r="VHO488" s="94"/>
      <c r="VHP488" s="95"/>
      <c r="VHQ488" s="96"/>
      <c r="VHR488" s="97"/>
      <c r="VHS488" s="97"/>
      <c r="VHT488" s="97"/>
      <c r="VHU488" s="97"/>
      <c r="VHV488" s="97"/>
      <c r="VHW488" s="97"/>
      <c r="VHX488" s="97"/>
      <c r="VHY488" s="97"/>
      <c r="VIA488" s="94"/>
      <c r="VIB488" s="94"/>
      <c r="VIC488" s="95"/>
      <c r="VID488" s="96"/>
      <c r="VIE488" s="97"/>
      <c r="VIF488" s="97"/>
      <c r="VIG488" s="97"/>
      <c r="VIH488" s="97"/>
      <c r="VII488" s="97"/>
      <c r="VIJ488" s="97"/>
      <c r="VIK488" s="97"/>
      <c r="VIL488" s="97"/>
      <c r="VIN488" s="94"/>
      <c r="VIO488" s="94"/>
      <c r="VIP488" s="95"/>
      <c r="VIQ488" s="96"/>
      <c r="VIR488" s="97"/>
      <c r="VIS488" s="97"/>
      <c r="VIT488" s="97"/>
      <c r="VIU488" s="97"/>
      <c r="VIV488" s="97"/>
      <c r="VIW488" s="97"/>
      <c r="VIX488" s="97"/>
      <c r="VIY488" s="97"/>
      <c r="VJA488" s="94"/>
      <c r="VJB488" s="94"/>
      <c r="VJC488" s="95"/>
      <c r="VJD488" s="96"/>
      <c r="VJE488" s="97"/>
      <c r="VJF488" s="97"/>
      <c r="VJG488" s="97"/>
      <c r="VJH488" s="97"/>
      <c r="VJI488" s="97"/>
      <c r="VJJ488" s="97"/>
      <c r="VJK488" s="97"/>
      <c r="VJL488" s="97"/>
      <c r="VJN488" s="94"/>
      <c r="VJO488" s="94"/>
      <c r="VJP488" s="95"/>
      <c r="VJQ488" s="96"/>
      <c r="VJR488" s="97"/>
      <c r="VJS488" s="97"/>
      <c r="VJT488" s="97"/>
      <c r="VJU488" s="97"/>
      <c r="VJV488" s="97"/>
      <c r="VJW488" s="97"/>
      <c r="VJX488" s="97"/>
      <c r="VJY488" s="97"/>
      <c r="VKA488" s="94"/>
      <c r="VKB488" s="94"/>
      <c r="VKC488" s="95"/>
      <c r="VKD488" s="96"/>
      <c r="VKE488" s="97"/>
      <c r="VKF488" s="97"/>
      <c r="VKG488" s="97"/>
      <c r="VKH488" s="97"/>
      <c r="VKI488" s="97"/>
      <c r="VKJ488" s="97"/>
      <c r="VKK488" s="97"/>
      <c r="VKL488" s="97"/>
      <c r="VKN488" s="94"/>
      <c r="VKO488" s="94"/>
      <c r="VKP488" s="95"/>
      <c r="VKQ488" s="96"/>
      <c r="VKR488" s="97"/>
      <c r="VKS488" s="97"/>
      <c r="VKT488" s="97"/>
      <c r="VKU488" s="97"/>
      <c r="VKV488" s="97"/>
      <c r="VKW488" s="97"/>
      <c r="VKX488" s="97"/>
      <c r="VKY488" s="97"/>
      <c r="VLA488" s="94"/>
      <c r="VLB488" s="94"/>
      <c r="VLC488" s="95"/>
      <c r="VLD488" s="96"/>
      <c r="VLE488" s="97"/>
      <c r="VLF488" s="97"/>
      <c r="VLG488" s="97"/>
      <c r="VLH488" s="97"/>
      <c r="VLI488" s="97"/>
      <c r="VLJ488" s="97"/>
      <c r="VLK488" s="97"/>
      <c r="VLL488" s="97"/>
      <c r="VLN488" s="94"/>
      <c r="VLO488" s="94"/>
      <c r="VLP488" s="95"/>
      <c r="VLQ488" s="96"/>
      <c r="VLR488" s="97"/>
      <c r="VLS488" s="97"/>
      <c r="VLT488" s="97"/>
      <c r="VLU488" s="97"/>
      <c r="VLV488" s="97"/>
      <c r="VLW488" s="97"/>
      <c r="VLX488" s="97"/>
      <c r="VLY488" s="97"/>
      <c r="VMA488" s="94"/>
      <c r="VMB488" s="94"/>
      <c r="VMC488" s="95"/>
      <c r="VMD488" s="96"/>
      <c r="VME488" s="97"/>
      <c r="VMF488" s="97"/>
      <c r="VMG488" s="97"/>
      <c r="VMH488" s="97"/>
      <c r="VMI488" s="97"/>
      <c r="VMJ488" s="97"/>
      <c r="VMK488" s="97"/>
      <c r="VML488" s="97"/>
      <c r="VMN488" s="94"/>
      <c r="VMO488" s="94"/>
      <c r="VMP488" s="95"/>
      <c r="VMQ488" s="96"/>
      <c r="VMR488" s="97"/>
      <c r="VMS488" s="97"/>
      <c r="VMT488" s="97"/>
      <c r="VMU488" s="97"/>
      <c r="VMV488" s="97"/>
      <c r="VMW488" s="97"/>
      <c r="VMX488" s="97"/>
      <c r="VMY488" s="97"/>
      <c r="VNA488" s="94"/>
      <c r="VNB488" s="94"/>
      <c r="VNC488" s="95"/>
      <c r="VND488" s="96"/>
      <c r="VNE488" s="97"/>
      <c r="VNF488" s="97"/>
      <c r="VNG488" s="97"/>
      <c r="VNH488" s="97"/>
      <c r="VNI488" s="97"/>
      <c r="VNJ488" s="97"/>
      <c r="VNK488" s="97"/>
      <c r="VNL488" s="97"/>
      <c r="VNN488" s="94"/>
      <c r="VNO488" s="94"/>
      <c r="VNP488" s="95"/>
      <c r="VNQ488" s="96"/>
      <c r="VNR488" s="97"/>
      <c r="VNS488" s="97"/>
      <c r="VNT488" s="97"/>
      <c r="VNU488" s="97"/>
      <c r="VNV488" s="97"/>
      <c r="VNW488" s="97"/>
      <c r="VNX488" s="97"/>
      <c r="VNY488" s="97"/>
      <c r="VOA488" s="94"/>
      <c r="VOB488" s="94"/>
      <c r="VOC488" s="95"/>
      <c r="VOD488" s="96"/>
      <c r="VOE488" s="97"/>
      <c r="VOF488" s="97"/>
      <c r="VOG488" s="97"/>
      <c r="VOH488" s="97"/>
      <c r="VOI488" s="97"/>
      <c r="VOJ488" s="97"/>
      <c r="VOK488" s="97"/>
      <c r="VOL488" s="97"/>
      <c r="VON488" s="94"/>
      <c r="VOO488" s="94"/>
      <c r="VOP488" s="95"/>
      <c r="VOQ488" s="96"/>
      <c r="VOR488" s="97"/>
      <c r="VOS488" s="97"/>
      <c r="VOT488" s="97"/>
      <c r="VOU488" s="97"/>
      <c r="VOV488" s="97"/>
      <c r="VOW488" s="97"/>
      <c r="VOX488" s="97"/>
      <c r="VOY488" s="97"/>
      <c r="VPA488" s="94"/>
      <c r="VPB488" s="94"/>
      <c r="VPC488" s="95"/>
      <c r="VPD488" s="96"/>
      <c r="VPE488" s="97"/>
      <c r="VPF488" s="97"/>
      <c r="VPG488" s="97"/>
      <c r="VPH488" s="97"/>
      <c r="VPI488" s="97"/>
      <c r="VPJ488" s="97"/>
      <c r="VPK488" s="97"/>
      <c r="VPL488" s="97"/>
      <c r="VPN488" s="94"/>
      <c r="VPO488" s="94"/>
      <c r="VPP488" s="95"/>
      <c r="VPQ488" s="96"/>
      <c r="VPR488" s="97"/>
      <c r="VPS488" s="97"/>
      <c r="VPT488" s="97"/>
      <c r="VPU488" s="97"/>
      <c r="VPV488" s="97"/>
      <c r="VPW488" s="97"/>
      <c r="VPX488" s="97"/>
      <c r="VPY488" s="97"/>
      <c r="VQA488" s="94"/>
      <c r="VQB488" s="94"/>
      <c r="VQC488" s="95"/>
      <c r="VQD488" s="96"/>
      <c r="VQE488" s="97"/>
      <c r="VQF488" s="97"/>
      <c r="VQG488" s="97"/>
      <c r="VQH488" s="97"/>
      <c r="VQI488" s="97"/>
      <c r="VQJ488" s="97"/>
      <c r="VQK488" s="97"/>
      <c r="VQL488" s="97"/>
      <c r="VQN488" s="94"/>
      <c r="VQO488" s="94"/>
      <c r="VQP488" s="95"/>
      <c r="VQQ488" s="96"/>
      <c r="VQR488" s="97"/>
      <c r="VQS488" s="97"/>
      <c r="VQT488" s="97"/>
      <c r="VQU488" s="97"/>
      <c r="VQV488" s="97"/>
      <c r="VQW488" s="97"/>
      <c r="VQX488" s="97"/>
      <c r="VQY488" s="97"/>
      <c r="VRA488" s="94"/>
      <c r="VRB488" s="94"/>
      <c r="VRC488" s="95"/>
      <c r="VRD488" s="96"/>
      <c r="VRE488" s="97"/>
      <c r="VRF488" s="97"/>
      <c r="VRG488" s="97"/>
      <c r="VRH488" s="97"/>
      <c r="VRI488" s="97"/>
      <c r="VRJ488" s="97"/>
      <c r="VRK488" s="97"/>
      <c r="VRL488" s="97"/>
      <c r="VRN488" s="94"/>
      <c r="VRO488" s="94"/>
      <c r="VRP488" s="95"/>
      <c r="VRQ488" s="96"/>
      <c r="VRR488" s="97"/>
      <c r="VRS488" s="97"/>
      <c r="VRT488" s="97"/>
      <c r="VRU488" s="97"/>
      <c r="VRV488" s="97"/>
      <c r="VRW488" s="97"/>
      <c r="VRX488" s="97"/>
      <c r="VRY488" s="97"/>
      <c r="VSA488" s="94"/>
      <c r="VSB488" s="94"/>
      <c r="VSC488" s="95"/>
      <c r="VSD488" s="96"/>
      <c r="VSE488" s="97"/>
      <c r="VSF488" s="97"/>
      <c r="VSG488" s="97"/>
      <c r="VSH488" s="97"/>
      <c r="VSI488" s="97"/>
      <c r="VSJ488" s="97"/>
      <c r="VSK488" s="97"/>
      <c r="VSL488" s="97"/>
      <c r="VSN488" s="94"/>
      <c r="VSO488" s="94"/>
      <c r="VSP488" s="95"/>
      <c r="VSQ488" s="96"/>
      <c r="VSR488" s="97"/>
      <c r="VSS488" s="97"/>
      <c r="VST488" s="97"/>
      <c r="VSU488" s="97"/>
      <c r="VSV488" s="97"/>
      <c r="VSW488" s="97"/>
      <c r="VSX488" s="97"/>
      <c r="VSY488" s="97"/>
      <c r="VTA488" s="94"/>
      <c r="VTB488" s="94"/>
      <c r="VTC488" s="95"/>
      <c r="VTD488" s="96"/>
      <c r="VTE488" s="97"/>
      <c r="VTF488" s="97"/>
      <c r="VTG488" s="97"/>
      <c r="VTH488" s="97"/>
      <c r="VTI488" s="97"/>
      <c r="VTJ488" s="97"/>
      <c r="VTK488" s="97"/>
      <c r="VTL488" s="97"/>
      <c r="VTN488" s="94"/>
      <c r="VTO488" s="94"/>
      <c r="VTP488" s="95"/>
      <c r="VTQ488" s="96"/>
      <c r="VTR488" s="97"/>
      <c r="VTS488" s="97"/>
      <c r="VTT488" s="97"/>
      <c r="VTU488" s="97"/>
      <c r="VTV488" s="97"/>
      <c r="VTW488" s="97"/>
      <c r="VTX488" s="97"/>
      <c r="VTY488" s="97"/>
      <c r="VUA488" s="94"/>
      <c r="VUB488" s="94"/>
      <c r="VUC488" s="95"/>
      <c r="VUD488" s="96"/>
      <c r="VUE488" s="97"/>
      <c r="VUF488" s="97"/>
      <c r="VUG488" s="97"/>
      <c r="VUH488" s="97"/>
      <c r="VUI488" s="97"/>
      <c r="VUJ488" s="97"/>
      <c r="VUK488" s="97"/>
      <c r="VUL488" s="97"/>
      <c r="VUN488" s="94"/>
      <c r="VUO488" s="94"/>
      <c r="VUP488" s="95"/>
      <c r="VUQ488" s="96"/>
      <c r="VUR488" s="97"/>
      <c r="VUS488" s="97"/>
      <c r="VUT488" s="97"/>
      <c r="VUU488" s="97"/>
      <c r="VUV488" s="97"/>
      <c r="VUW488" s="97"/>
      <c r="VUX488" s="97"/>
      <c r="VUY488" s="97"/>
      <c r="VVA488" s="94"/>
      <c r="VVB488" s="94"/>
      <c r="VVC488" s="95"/>
      <c r="VVD488" s="96"/>
      <c r="VVE488" s="97"/>
      <c r="VVF488" s="97"/>
      <c r="VVG488" s="97"/>
      <c r="VVH488" s="97"/>
      <c r="VVI488" s="97"/>
      <c r="VVJ488" s="97"/>
      <c r="VVK488" s="97"/>
      <c r="VVL488" s="97"/>
      <c r="VVN488" s="94"/>
      <c r="VVO488" s="94"/>
      <c r="VVP488" s="95"/>
      <c r="VVQ488" s="96"/>
      <c r="VVR488" s="97"/>
      <c r="VVS488" s="97"/>
      <c r="VVT488" s="97"/>
      <c r="VVU488" s="97"/>
      <c r="VVV488" s="97"/>
      <c r="VVW488" s="97"/>
      <c r="VVX488" s="97"/>
      <c r="VVY488" s="97"/>
      <c r="VWA488" s="94"/>
      <c r="VWB488" s="94"/>
      <c r="VWC488" s="95"/>
      <c r="VWD488" s="96"/>
      <c r="VWE488" s="97"/>
      <c r="VWF488" s="97"/>
      <c r="VWG488" s="97"/>
      <c r="VWH488" s="97"/>
      <c r="VWI488" s="97"/>
      <c r="VWJ488" s="97"/>
      <c r="VWK488" s="97"/>
      <c r="VWL488" s="97"/>
      <c r="VWN488" s="94"/>
      <c r="VWO488" s="94"/>
      <c r="VWP488" s="95"/>
      <c r="VWQ488" s="96"/>
      <c r="VWR488" s="97"/>
      <c r="VWS488" s="97"/>
      <c r="VWT488" s="97"/>
      <c r="VWU488" s="97"/>
      <c r="VWV488" s="97"/>
      <c r="VWW488" s="97"/>
      <c r="VWX488" s="97"/>
      <c r="VWY488" s="97"/>
      <c r="VXA488" s="94"/>
      <c r="VXB488" s="94"/>
      <c r="VXC488" s="95"/>
      <c r="VXD488" s="96"/>
      <c r="VXE488" s="97"/>
      <c r="VXF488" s="97"/>
      <c r="VXG488" s="97"/>
      <c r="VXH488" s="97"/>
      <c r="VXI488" s="97"/>
      <c r="VXJ488" s="97"/>
      <c r="VXK488" s="97"/>
      <c r="VXL488" s="97"/>
      <c r="VXN488" s="94"/>
      <c r="VXO488" s="94"/>
      <c r="VXP488" s="95"/>
      <c r="VXQ488" s="96"/>
      <c r="VXR488" s="97"/>
      <c r="VXS488" s="97"/>
      <c r="VXT488" s="97"/>
      <c r="VXU488" s="97"/>
      <c r="VXV488" s="97"/>
      <c r="VXW488" s="97"/>
      <c r="VXX488" s="97"/>
      <c r="VXY488" s="97"/>
      <c r="VYA488" s="94"/>
      <c r="VYB488" s="94"/>
      <c r="VYC488" s="95"/>
      <c r="VYD488" s="96"/>
      <c r="VYE488" s="97"/>
      <c r="VYF488" s="97"/>
      <c r="VYG488" s="97"/>
      <c r="VYH488" s="97"/>
      <c r="VYI488" s="97"/>
      <c r="VYJ488" s="97"/>
      <c r="VYK488" s="97"/>
      <c r="VYL488" s="97"/>
      <c r="VYN488" s="94"/>
      <c r="VYO488" s="94"/>
      <c r="VYP488" s="95"/>
      <c r="VYQ488" s="96"/>
      <c r="VYR488" s="97"/>
      <c r="VYS488" s="97"/>
      <c r="VYT488" s="97"/>
      <c r="VYU488" s="97"/>
      <c r="VYV488" s="97"/>
      <c r="VYW488" s="97"/>
      <c r="VYX488" s="97"/>
      <c r="VYY488" s="97"/>
      <c r="VZA488" s="94"/>
      <c r="VZB488" s="94"/>
      <c r="VZC488" s="95"/>
      <c r="VZD488" s="96"/>
      <c r="VZE488" s="97"/>
      <c r="VZF488" s="97"/>
      <c r="VZG488" s="97"/>
      <c r="VZH488" s="97"/>
      <c r="VZI488" s="97"/>
      <c r="VZJ488" s="97"/>
      <c r="VZK488" s="97"/>
      <c r="VZL488" s="97"/>
      <c r="VZN488" s="94"/>
      <c r="VZO488" s="94"/>
      <c r="VZP488" s="95"/>
      <c r="VZQ488" s="96"/>
      <c r="VZR488" s="97"/>
      <c r="VZS488" s="97"/>
      <c r="VZT488" s="97"/>
      <c r="VZU488" s="97"/>
      <c r="VZV488" s="97"/>
      <c r="VZW488" s="97"/>
      <c r="VZX488" s="97"/>
      <c r="VZY488" s="97"/>
      <c r="WAA488" s="94"/>
      <c r="WAB488" s="94"/>
      <c r="WAC488" s="95"/>
      <c r="WAD488" s="96"/>
      <c r="WAE488" s="97"/>
      <c r="WAF488" s="97"/>
      <c r="WAG488" s="97"/>
      <c r="WAH488" s="97"/>
      <c r="WAI488" s="97"/>
      <c r="WAJ488" s="97"/>
      <c r="WAK488" s="97"/>
      <c r="WAL488" s="97"/>
      <c r="WAN488" s="94"/>
      <c r="WAO488" s="94"/>
      <c r="WAP488" s="95"/>
      <c r="WAQ488" s="96"/>
      <c r="WAR488" s="97"/>
      <c r="WAS488" s="97"/>
      <c r="WAT488" s="97"/>
      <c r="WAU488" s="97"/>
      <c r="WAV488" s="97"/>
      <c r="WAW488" s="97"/>
      <c r="WAX488" s="97"/>
      <c r="WAY488" s="97"/>
      <c r="WBA488" s="94"/>
      <c r="WBB488" s="94"/>
      <c r="WBC488" s="95"/>
      <c r="WBD488" s="96"/>
      <c r="WBE488" s="97"/>
      <c r="WBF488" s="97"/>
      <c r="WBG488" s="97"/>
      <c r="WBH488" s="97"/>
      <c r="WBI488" s="97"/>
      <c r="WBJ488" s="97"/>
      <c r="WBK488" s="97"/>
      <c r="WBL488" s="97"/>
      <c r="WBN488" s="94"/>
      <c r="WBO488" s="94"/>
      <c r="WBP488" s="95"/>
      <c r="WBQ488" s="96"/>
      <c r="WBR488" s="97"/>
      <c r="WBS488" s="97"/>
      <c r="WBT488" s="97"/>
      <c r="WBU488" s="97"/>
      <c r="WBV488" s="97"/>
      <c r="WBW488" s="97"/>
      <c r="WBX488" s="97"/>
      <c r="WBY488" s="97"/>
      <c r="WCA488" s="94"/>
      <c r="WCB488" s="94"/>
      <c r="WCC488" s="95"/>
      <c r="WCD488" s="96"/>
      <c r="WCE488" s="97"/>
      <c r="WCF488" s="97"/>
      <c r="WCG488" s="97"/>
      <c r="WCH488" s="97"/>
      <c r="WCI488" s="97"/>
      <c r="WCJ488" s="97"/>
      <c r="WCK488" s="97"/>
      <c r="WCL488" s="97"/>
      <c r="WCN488" s="94"/>
      <c r="WCO488" s="94"/>
      <c r="WCP488" s="95"/>
      <c r="WCQ488" s="96"/>
      <c r="WCR488" s="97"/>
      <c r="WCS488" s="97"/>
      <c r="WCT488" s="97"/>
      <c r="WCU488" s="97"/>
      <c r="WCV488" s="97"/>
      <c r="WCW488" s="97"/>
      <c r="WCX488" s="97"/>
      <c r="WCY488" s="97"/>
      <c r="WDA488" s="94"/>
      <c r="WDB488" s="94"/>
      <c r="WDC488" s="95"/>
      <c r="WDD488" s="96"/>
      <c r="WDE488" s="97"/>
      <c r="WDF488" s="97"/>
      <c r="WDG488" s="97"/>
      <c r="WDH488" s="97"/>
      <c r="WDI488" s="97"/>
      <c r="WDJ488" s="97"/>
      <c r="WDK488" s="97"/>
      <c r="WDL488" s="97"/>
      <c r="WDN488" s="94"/>
      <c r="WDO488" s="94"/>
      <c r="WDP488" s="95"/>
      <c r="WDQ488" s="96"/>
      <c r="WDR488" s="97"/>
      <c r="WDS488" s="97"/>
      <c r="WDT488" s="97"/>
      <c r="WDU488" s="97"/>
      <c r="WDV488" s="97"/>
      <c r="WDW488" s="97"/>
      <c r="WDX488" s="97"/>
      <c r="WDY488" s="97"/>
      <c r="WEA488" s="94"/>
      <c r="WEB488" s="94"/>
      <c r="WEC488" s="95"/>
      <c r="WED488" s="96"/>
      <c r="WEE488" s="97"/>
      <c r="WEF488" s="97"/>
      <c r="WEG488" s="97"/>
      <c r="WEH488" s="97"/>
      <c r="WEI488" s="97"/>
      <c r="WEJ488" s="97"/>
      <c r="WEK488" s="97"/>
      <c r="WEL488" s="97"/>
      <c r="WEN488" s="94"/>
      <c r="WEO488" s="94"/>
      <c r="WEP488" s="95"/>
      <c r="WEQ488" s="96"/>
      <c r="WER488" s="97"/>
      <c r="WES488" s="97"/>
      <c r="WET488" s="97"/>
      <c r="WEU488" s="97"/>
      <c r="WEV488" s="97"/>
      <c r="WEW488" s="97"/>
      <c r="WEX488" s="97"/>
      <c r="WEY488" s="97"/>
      <c r="WFA488" s="94"/>
      <c r="WFB488" s="94"/>
      <c r="WFC488" s="95"/>
      <c r="WFD488" s="96"/>
      <c r="WFE488" s="97"/>
      <c r="WFF488" s="97"/>
      <c r="WFG488" s="97"/>
      <c r="WFH488" s="97"/>
      <c r="WFI488" s="97"/>
      <c r="WFJ488" s="97"/>
      <c r="WFK488" s="97"/>
      <c r="WFL488" s="97"/>
      <c r="WFN488" s="94"/>
      <c r="WFO488" s="94"/>
      <c r="WFP488" s="95"/>
      <c r="WFQ488" s="96"/>
      <c r="WFR488" s="97"/>
      <c r="WFS488" s="97"/>
      <c r="WFT488" s="97"/>
      <c r="WFU488" s="97"/>
      <c r="WFV488" s="97"/>
      <c r="WFW488" s="97"/>
      <c r="WFX488" s="97"/>
      <c r="WFY488" s="97"/>
      <c r="WGA488" s="94"/>
      <c r="WGB488" s="94"/>
      <c r="WGC488" s="95"/>
      <c r="WGD488" s="96"/>
      <c r="WGE488" s="97"/>
      <c r="WGF488" s="97"/>
      <c r="WGG488" s="97"/>
      <c r="WGH488" s="97"/>
      <c r="WGI488" s="97"/>
      <c r="WGJ488" s="97"/>
      <c r="WGK488" s="97"/>
      <c r="WGL488" s="97"/>
      <c r="WGN488" s="94"/>
      <c r="WGO488" s="94"/>
      <c r="WGP488" s="95"/>
      <c r="WGQ488" s="96"/>
      <c r="WGR488" s="97"/>
      <c r="WGS488" s="97"/>
      <c r="WGT488" s="97"/>
      <c r="WGU488" s="97"/>
      <c r="WGV488" s="97"/>
      <c r="WGW488" s="97"/>
      <c r="WGX488" s="97"/>
      <c r="WGY488" s="97"/>
      <c r="WHA488" s="94"/>
      <c r="WHB488" s="94"/>
      <c r="WHC488" s="95"/>
      <c r="WHD488" s="96"/>
      <c r="WHE488" s="97"/>
      <c r="WHF488" s="97"/>
      <c r="WHG488" s="97"/>
      <c r="WHH488" s="97"/>
      <c r="WHI488" s="97"/>
      <c r="WHJ488" s="97"/>
      <c r="WHK488" s="97"/>
      <c r="WHL488" s="97"/>
      <c r="WHN488" s="94"/>
      <c r="WHO488" s="94"/>
      <c r="WHP488" s="95"/>
      <c r="WHQ488" s="96"/>
      <c r="WHR488" s="97"/>
      <c r="WHS488" s="97"/>
      <c r="WHT488" s="97"/>
      <c r="WHU488" s="97"/>
      <c r="WHV488" s="97"/>
      <c r="WHW488" s="97"/>
      <c r="WHX488" s="97"/>
      <c r="WHY488" s="97"/>
      <c r="WIA488" s="94"/>
      <c r="WIB488" s="94"/>
      <c r="WIC488" s="95"/>
      <c r="WID488" s="96"/>
      <c r="WIE488" s="97"/>
      <c r="WIF488" s="97"/>
      <c r="WIG488" s="97"/>
      <c r="WIH488" s="97"/>
      <c r="WII488" s="97"/>
      <c r="WIJ488" s="97"/>
      <c r="WIK488" s="97"/>
      <c r="WIL488" s="97"/>
      <c r="WIN488" s="94"/>
      <c r="WIO488" s="94"/>
      <c r="WIP488" s="95"/>
      <c r="WIQ488" s="96"/>
      <c r="WIR488" s="97"/>
      <c r="WIS488" s="97"/>
      <c r="WIT488" s="97"/>
      <c r="WIU488" s="97"/>
      <c r="WIV488" s="97"/>
      <c r="WIW488" s="97"/>
      <c r="WIX488" s="97"/>
      <c r="WIY488" s="97"/>
      <c r="WJA488" s="94"/>
      <c r="WJB488" s="94"/>
      <c r="WJC488" s="95"/>
      <c r="WJD488" s="96"/>
      <c r="WJE488" s="97"/>
      <c r="WJF488" s="97"/>
      <c r="WJG488" s="97"/>
      <c r="WJH488" s="97"/>
      <c r="WJI488" s="97"/>
      <c r="WJJ488" s="97"/>
      <c r="WJK488" s="97"/>
      <c r="WJL488" s="97"/>
      <c r="WJN488" s="94"/>
      <c r="WJO488" s="94"/>
      <c r="WJP488" s="95"/>
      <c r="WJQ488" s="96"/>
      <c r="WJR488" s="97"/>
      <c r="WJS488" s="97"/>
      <c r="WJT488" s="97"/>
      <c r="WJU488" s="97"/>
      <c r="WJV488" s="97"/>
      <c r="WJW488" s="97"/>
      <c r="WJX488" s="97"/>
      <c r="WJY488" s="97"/>
      <c r="WKA488" s="94"/>
      <c r="WKB488" s="94"/>
      <c r="WKC488" s="95"/>
      <c r="WKD488" s="96"/>
      <c r="WKE488" s="97"/>
      <c r="WKF488" s="97"/>
      <c r="WKG488" s="97"/>
      <c r="WKH488" s="97"/>
      <c r="WKI488" s="97"/>
      <c r="WKJ488" s="97"/>
      <c r="WKK488" s="97"/>
      <c r="WKL488" s="97"/>
      <c r="WKN488" s="94"/>
      <c r="WKO488" s="94"/>
      <c r="WKP488" s="95"/>
      <c r="WKQ488" s="96"/>
      <c r="WKR488" s="97"/>
      <c r="WKS488" s="97"/>
      <c r="WKT488" s="97"/>
      <c r="WKU488" s="97"/>
      <c r="WKV488" s="97"/>
      <c r="WKW488" s="97"/>
      <c r="WKX488" s="97"/>
      <c r="WKY488" s="97"/>
      <c r="WLA488" s="94"/>
      <c r="WLB488" s="94"/>
      <c r="WLC488" s="95"/>
      <c r="WLD488" s="96"/>
      <c r="WLE488" s="97"/>
      <c r="WLF488" s="97"/>
      <c r="WLG488" s="97"/>
      <c r="WLH488" s="97"/>
      <c r="WLI488" s="97"/>
      <c r="WLJ488" s="97"/>
      <c r="WLK488" s="97"/>
      <c r="WLL488" s="97"/>
      <c r="WLN488" s="94"/>
      <c r="WLO488" s="94"/>
      <c r="WLP488" s="95"/>
      <c r="WLQ488" s="96"/>
      <c r="WLR488" s="97"/>
      <c r="WLS488" s="97"/>
      <c r="WLT488" s="97"/>
      <c r="WLU488" s="97"/>
      <c r="WLV488" s="97"/>
      <c r="WLW488" s="97"/>
      <c r="WLX488" s="97"/>
      <c r="WLY488" s="97"/>
      <c r="WMA488" s="94"/>
      <c r="WMB488" s="94"/>
      <c r="WMC488" s="95"/>
      <c r="WMD488" s="96"/>
      <c r="WME488" s="97"/>
      <c r="WMF488" s="97"/>
      <c r="WMG488" s="97"/>
      <c r="WMH488" s="97"/>
      <c r="WMI488" s="97"/>
      <c r="WMJ488" s="97"/>
      <c r="WMK488" s="97"/>
      <c r="WML488" s="97"/>
      <c r="WMN488" s="94"/>
      <c r="WMO488" s="94"/>
      <c r="WMP488" s="95"/>
      <c r="WMQ488" s="96"/>
      <c r="WMR488" s="97"/>
      <c r="WMS488" s="97"/>
      <c r="WMT488" s="97"/>
      <c r="WMU488" s="97"/>
      <c r="WMV488" s="97"/>
      <c r="WMW488" s="97"/>
      <c r="WMX488" s="97"/>
      <c r="WMY488" s="97"/>
      <c r="WNA488" s="94"/>
      <c r="WNB488" s="94"/>
      <c r="WNC488" s="95"/>
      <c r="WND488" s="96"/>
      <c r="WNE488" s="97"/>
      <c r="WNF488" s="97"/>
      <c r="WNG488" s="97"/>
      <c r="WNH488" s="97"/>
      <c r="WNI488" s="97"/>
      <c r="WNJ488" s="97"/>
      <c r="WNK488" s="97"/>
      <c r="WNL488" s="97"/>
      <c r="WNN488" s="94"/>
      <c r="WNO488" s="94"/>
      <c r="WNP488" s="95"/>
      <c r="WNQ488" s="96"/>
      <c r="WNR488" s="97"/>
      <c r="WNS488" s="97"/>
      <c r="WNT488" s="97"/>
      <c r="WNU488" s="97"/>
      <c r="WNV488" s="97"/>
      <c r="WNW488" s="97"/>
      <c r="WNX488" s="97"/>
      <c r="WNY488" s="97"/>
      <c r="WOA488" s="94"/>
      <c r="WOB488" s="94"/>
      <c r="WOC488" s="95"/>
      <c r="WOD488" s="96"/>
      <c r="WOE488" s="97"/>
      <c r="WOF488" s="97"/>
      <c r="WOG488" s="97"/>
      <c r="WOH488" s="97"/>
      <c r="WOI488" s="97"/>
      <c r="WOJ488" s="97"/>
      <c r="WOK488" s="97"/>
      <c r="WOL488" s="97"/>
      <c r="WON488" s="94"/>
      <c r="WOO488" s="94"/>
      <c r="WOP488" s="95"/>
      <c r="WOQ488" s="96"/>
      <c r="WOR488" s="97"/>
      <c r="WOS488" s="97"/>
      <c r="WOT488" s="97"/>
      <c r="WOU488" s="97"/>
      <c r="WOV488" s="97"/>
      <c r="WOW488" s="97"/>
      <c r="WOX488" s="97"/>
      <c r="WOY488" s="97"/>
      <c r="WPA488" s="94"/>
      <c r="WPB488" s="94"/>
      <c r="WPC488" s="95"/>
      <c r="WPD488" s="96"/>
      <c r="WPE488" s="97"/>
      <c r="WPF488" s="97"/>
      <c r="WPG488" s="97"/>
      <c r="WPH488" s="97"/>
      <c r="WPI488" s="97"/>
      <c r="WPJ488" s="97"/>
      <c r="WPK488" s="97"/>
      <c r="WPL488" s="97"/>
      <c r="WPN488" s="94"/>
      <c r="WPO488" s="94"/>
      <c r="WPP488" s="95"/>
      <c r="WPQ488" s="96"/>
      <c r="WPR488" s="97"/>
      <c r="WPS488" s="97"/>
      <c r="WPT488" s="97"/>
      <c r="WPU488" s="97"/>
      <c r="WPV488" s="97"/>
      <c r="WPW488" s="97"/>
      <c r="WPX488" s="97"/>
      <c r="WPY488" s="97"/>
      <c r="WQA488" s="94"/>
      <c r="WQB488" s="94"/>
      <c r="WQC488" s="95"/>
      <c r="WQD488" s="96"/>
      <c r="WQE488" s="97"/>
      <c r="WQF488" s="97"/>
      <c r="WQG488" s="97"/>
      <c r="WQH488" s="97"/>
      <c r="WQI488" s="97"/>
      <c r="WQJ488" s="97"/>
      <c r="WQK488" s="97"/>
      <c r="WQL488" s="97"/>
      <c r="WQN488" s="94"/>
      <c r="WQO488" s="94"/>
      <c r="WQP488" s="95"/>
      <c r="WQQ488" s="96"/>
      <c r="WQR488" s="97"/>
      <c r="WQS488" s="97"/>
      <c r="WQT488" s="97"/>
      <c r="WQU488" s="97"/>
      <c r="WQV488" s="97"/>
      <c r="WQW488" s="97"/>
      <c r="WQX488" s="97"/>
      <c r="WQY488" s="97"/>
      <c r="WRA488" s="94"/>
      <c r="WRB488" s="94"/>
      <c r="WRC488" s="95"/>
      <c r="WRD488" s="96"/>
      <c r="WRE488" s="97"/>
      <c r="WRF488" s="97"/>
      <c r="WRG488" s="97"/>
      <c r="WRH488" s="97"/>
      <c r="WRI488" s="97"/>
      <c r="WRJ488" s="97"/>
      <c r="WRK488" s="97"/>
      <c r="WRL488" s="97"/>
      <c r="WRN488" s="94"/>
      <c r="WRO488" s="94"/>
      <c r="WRP488" s="95"/>
      <c r="WRQ488" s="96"/>
      <c r="WRR488" s="97"/>
      <c r="WRS488" s="97"/>
      <c r="WRT488" s="97"/>
      <c r="WRU488" s="97"/>
      <c r="WRV488" s="97"/>
      <c r="WRW488" s="97"/>
      <c r="WRX488" s="97"/>
      <c r="WRY488" s="97"/>
      <c r="WSA488" s="94"/>
      <c r="WSB488" s="94"/>
      <c r="WSC488" s="95"/>
      <c r="WSD488" s="96"/>
      <c r="WSE488" s="97"/>
      <c r="WSF488" s="97"/>
      <c r="WSG488" s="97"/>
      <c r="WSH488" s="97"/>
      <c r="WSI488" s="97"/>
      <c r="WSJ488" s="97"/>
      <c r="WSK488" s="97"/>
      <c r="WSL488" s="97"/>
      <c r="WSN488" s="94"/>
      <c r="WSO488" s="94"/>
      <c r="WSP488" s="95"/>
      <c r="WSQ488" s="96"/>
      <c r="WSR488" s="97"/>
      <c r="WSS488" s="97"/>
      <c r="WST488" s="97"/>
      <c r="WSU488" s="97"/>
      <c r="WSV488" s="97"/>
      <c r="WSW488" s="97"/>
      <c r="WSX488" s="97"/>
      <c r="WSY488" s="97"/>
      <c r="WTA488" s="94"/>
      <c r="WTB488" s="94"/>
      <c r="WTC488" s="95"/>
      <c r="WTD488" s="96"/>
      <c r="WTE488" s="97"/>
      <c r="WTF488" s="97"/>
      <c r="WTG488" s="97"/>
      <c r="WTH488" s="97"/>
      <c r="WTI488" s="97"/>
      <c r="WTJ488" s="97"/>
      <c r="WTK488" s="97"/>
      <c r="WTL488" s="97"/>
      <c r="WTN488" s="94"/>
      <c r="WTO488" s="94"/>
      <c r="WTP488" s="95"/>
      <c r="WTQ488" s="96"/>
      <c r="WTR488" s="97"/>
      <c r="WTS488" s="97"/>
      <c r="WTT488" s="97"/>
      <c r="WTU488" s="97"/>
      <c r="WTV488" s="97"/>
      <c r="WTW488" s="97"/>
      <c r="WTX488" s="97"/>
      <c r="WTY488" s="97"/>
      <c r="WUA488" s="94"/>
      <c r="WUB488" s="94"/>
      <c r="WUC488" s="95"/>
      <c r="WUD488" s="96"/>
      <c r="WUE488" s="97"/>
      <c r="WUF488" s="97"/>
      <c r="WUG488" s="97"/>
      <c r="WUH488" s="97"/>
      <c r="WUI488" s="97"/>
      <c r="WUJ488" s="97"/>
      <c r="WUK488" s="97"/>
      <c r="WUL488" s="97"/>
      <c r="WUN488" s="94"/>
      <c r="WUO488" s="94"/>
      <c r="WUP488" s="95"/>
      <c r="WUQ488" s="96"/>
      <c r="WUR488" s="97"/>
      <c r="WUS488" s="97"/>
      <c r="WUT488" s="97"/>
      <c r="WUU488" s="97"/>
      <c r="WUV488" s="97"/>
      <c r="WUW488" s="97"/>
      <c r="WUX488" s="97"/>
      <c r="WUY488" s="97"/>
      <c r="WVA488" s="94"/>
      <c r="WVB488" s="94"/>
      <c r="WVC488" s="95"/>
      <c r="WVD488" s="96"/>
      <c r="WVE488" s="97"/>
      <c r="WVF488" s="97"/>
      <c r="WVG488" s="97"/>
      <c r="WVH488" s="97"/>
      <c r="WVI488" s="97"/>
      <c r="WVJ488" s="97"/>
      <c r="WVK488" s="97"/>
      <c r="WVL488" s="97"/>
      <c r="WVN488" s="94"/>
      <c r="WVO488" s="94"/>
      <c r="WVP488" s="95"/>
      <c r="WVQ488" s="96"/>
      <c r="WVR488" s="97"/>
      <c r="WVS488" s="97"/>
      <c r="WVT488" s="97"/>
      <c r="WVU488" s="97"/>
      <c r="WVV488" s="97"/>
      <c r="WVW488" s="97"/>
      <c r="WVX488" s="97"/>
      <c r="WVY488" s="97"/>
      <c r="WWA488" s="94"/>
      <c r="WWB488" s="94"/>
      <c r="WWC488" s="95"/>
      <c r="WWD488" s="96"/>
      <c r="WWE488" s="97"/>
      <c r="WWF488" s="97"/>
      <c r="WWG488" s="97"/>
      <c r="WWH488" s="97"/>
      <c r="WWI488" s="97"/>
      <c r="WWJ488" s="97"/>
      <c r="WWK488" s="97"/>
      <c r="WWL488" s="97"/>
      <c r="WWN488" s="94"/>
      <c r="WWO488" s="94"/>
      <c r="WWP488" s="95"/>
      <c r="WWQ488" s="96"/>
      <c r="WWR488" s="97"/>
      <c r="WWS488" s="97"/>
      <c r="WWT488" s="97"/>
      <c r="WWU488" s="97"/>
      <c r="WWV488" s="97"/>
      <c r="WWW488" s="97"/>
      <c r="WWX488" s="97"/>
      <c r="WWY488" s="97"/>
      <c r="WXA488" s="94"/>
      <c r="WXB488" s="94"/>
      <c r="WXC488" s="95"/>
      <c r="WXD488" s="96"/>
      <c r="WXE488" s="97"/>
      <c r="WXF488" s="97"/>
      <c r="WXG488" s="97"/>
      <c r="WXH488" s="97"/>
      <c r="WXI488" s="97"/>
      <c r="WXJ488" s="97"/>
      <c r="WXK488" s="97"/>
      <c r="WXL488" s="97"/>
      <c r="WXN488" s="94"/>
      <c r="WXO488" s="94"/>
      <c r="WXP488" s="95"/>
      <c r="WXQ488" s="96"/>
      <c r="WXR488" s="97"/>
      <c r="WXS488" s="97"/>
      <c r="WXT488" s="97"/>
      <c r="WXU488" s="97"/>
      <c r="WXV488" s="97"/>
      <c r="WXW488" s="97"/>
      <c r="WXX488" s="97"/>
      <c r="WXY488" s="97"/>
      <c r="WYA488" s="94"/>
      <c r="WYB488" s="94"/>
      <c r="WYC488" s="95"/>
      <c r="WYD488" s="96"/>
      <c r="WYE488" s="97"/>
      <c r="WYF488" s="97"/>
      <c r="WYG488" s="97"/>
      <c r="WYH488" s="97"/>
      <c r="WYI488" s="97"/>
      <c r="WYJ488" s="97"/>
      <c r="WYK488" s="97"/>
      <c r="WYL488" s="97"/>
      <c r="WYN488" s="94"/>
      <c r="WYO488" s="94"/>
      <c r="WYP488" s="95"/>
      <c r="WYQ488" s="96"/>
      <c r="WYR488" s="97"/>
      <c r="WYS488" s="97"/>
      <c r="WYT488" s="97"/>
      <c r="WYU488" s="97"/>
      <c r="WYV488" s="97"/>
      <c r="WYW488" s="97"/>
      <c r="WYX488" s="97"/>
      <c r="WYY488" s="97"/>
      <c r="WZA488" s="94"/>
      <c r="WZB488" s="94"/>
      <c r="WZC488" s="95"/>
      <c r="WZD488" s="96"/>
      <c r="WZE488" s="97"/>
      <c r="WZF488" s="97"/>
      <c r="WZG488" s="97"/>
      <c r="WZH488" s="97"/>
      <c r="WZI488" s="97"/>
      <c r="WZJ488" s="97"/>
      <c r="WZK488" s="97"/>
      <c r="WZL488" s="97"/>
      <c r="WZN488" s="94"/>
      <c r="WZO488" s="94"/>
      <c r="WZP488" s="95"/>
      <c r="WZQ488" s="96"/>
      <c r="WZR488" s="97"/>
      <c r="WZS488" s="97"/>
      <c r="WZT488" s="97"/>
      <c r="WZU488" s="97"/>
      <c r="WZV488" s="97"/>
      <c r="WZW488" s="97"/>
      <c r="WZX488" s="97"/>
      <c r="WZY488" s="97"/>
      <c r="XAA488" s="94"/>
      <c r="XAB488" s="94"/>
      <c r="XAC488" s="95"/>
      <c r="XAD488" s="96"/>
      <c r="XAE488" s="97"/>
      <c r="XAF488" s="97"/>
      <c r="XAG488" s="97"/>
      <c r="XAH488" s="97"/>
      <c r="XAI488" s="97"/>
      <c r="XAJ488" s="97"/>
      <c r="XAK488" s="97"/>
      <c r="XAL488" s="97"/>
      <c r="XAN488" s="94"/>
      <c r="XAO488" s="94"/>
      <c r="XAP488" s="95"/>
      <c r="XAQ488" s="96"/>
      <c r="XAR488" s="97"/>
      <c r="XAS488" s="97"/>
      <c r="XAT488" s="97"/>
      <c r="XAU488" s="97"/>
      <c r="XAV488" s="97"/>
      <c r="XAW488" s="97"/>
      <c r="XAX488" s="97"/>
      <c r="XAY488" s="97"/>
      <c r="XBA488" s="94"/>
      <c r="XBB488" s="94"/>
      <c r="XBC488" s="95"/>
      <c r="XBD488" s="96"/>
      <c r="XBE488" s="97"/>
      <c r="XBF488" s="97"/>
      <c r="XBG488" s="97"/>
      <c r="XBH488" s="97"/>
      <c r="XBI488" s="97"/>
      <c r="XBJ488" s="97"/>
      <c r="XBK488" s="97"/>
      <c r="XBL488" s="97"/>
      <c r="XBN488" s="94"/>
      <c r="XBO488" s="94"/>
      <c r="XBP488" s="95"/>
      <c r="XBQ488" s="96"/>
      <c r="XBR488" s="97"/>
      <c r="XBS488" s="97"/>
      <c r="XBT488" s="97"/>
      <c r="XBU488" s="97"/>
      <c r="XBV488" s="97"/>
      <c r="XBW488" s="97"/>
      <c r="XBX488" s="97"/>
      <c r="XBY488" s="97"/>
      <c r="XCA488" s="94"/>
      <c r="XCB488" s="94"/>
      <c r="XCC488" s="95"/>
      <c r="XCD488" s="96"/>
      <c r="XCE488" s="97"/>
      <c r="XCF488" s="97"/>
      <c r="XCG488" s="97"/>
      <c r="XCH488" s="97"/>
      <c r="XCI488" s="97"/>
      <c r="XCJ488" s="97"/>
      <c r="XCK488" s="97"/>
      <c r="XCL488" s="97"/>
      <c r="XCN488" s="94"/>
      <c r="XCO488" s="94"/>
      <c r="XCP488" s="95"/>
      <c r="XCQ488" s="96"/>
      <c r="XCR488" s="97"/>
      <c r="XCS488" s="97"/>
      <c r="XCT488" s="97"/>
      <c r="XCU488" s="97"/>
      <c r="XCV488" s="97"/>
      <c r="XCW488" s="97"/>
      <c r="XCX488" s="97"/>
      <c r="XCY488" s="97"/>
      <c r="XDA488" s="94"/>
      <c r="XDB488" s="94"/>
      <c r="XDC488" s="95"/>
      <c r="XDD488" s="96"/>
      <c r="XDE488" s="97"/>
      <c r="XDF488" s="97"/>
      <c r="XDG488" s="97"/>
      <c r="XDH488" s="97"/>
      <c r="XDI488" s="97"/>
      <c r="XDJ488" s="97"/>
      <c r="XDK488" s="97"/>
      <c r="XDL488" s="97"/>
      <c r="XDN488" s="94"/>
      <c r="XDO488" s="94"/>
      <c r="XDP488" s="95"/>
      <c r="XDQ488" s="96"/>
      <c r="XDR488" s="97"/>
      <c r="XDS488" s="97"/>
      <c r="XDT488" s="97"/>
      <c r="XDU488" s="97"/>
      <c r="XDV488" s="97"/>
      <c r="XDW488" s="97"/>
      <c r="XDX488" s="97"/>
      <c r="XDY488" s="97"/>
      <c r="XEA488" s="94"/>
      <c r="XEB488" s="94"/>
      <c r="XEC488" s="95"/>
      <c r="XED488" s="96"/>
      <c r="XEE488" s="97"/>
      <c r="XEF488" s="97"/>
      <c r="XEG488" s="97"/>
      <c r="XEH488" s="97"/>
      <c r="XEI488" s="97"/>
      <c r="XEJ488" s="97"/>
      <c r="XEK488" s="97"/>
      <c r="XEL488" s="97"/>
      <c r="XEN488" s="94"/>
      <c r="XEO488" s="94"/>
      <c r="XEP488" s="95"/>
      <c r="XEQ488" s="96"/>
      <c r="XER488" s="97"/>
      <c r="XES488" s="97"/>
      <c r="XET488" s="97"/>
      <c r="XEU488" s="97"/>
      <c r="XEV488" s="97"/>
      <c r="XEW488" s="97"/>
      <c r="XEX488" s="97"/>
      <c r="XEY488" s="97"/>
      <c r="XFA488" s="94"/>
      <c r="XFB488" s="94"/>
      <c r="XFC488" s="95"/>
      <c r="XFD488" s="96"/>
    </row>
    <row r="489" spans="1:9216 9218:13311 13313:16384" x14ac:dyDescent="0.2">
      <c r="A489" s="56">
        <v>2793</v>
      </c>
      <c r="B489" s="56">
        <v>941</v>
      </c>
      <c r="C489" s="4">
        <v>42206</v>
      </c>
      <c r="D489" s="160" t="s">
        <v>957</v>
      </c>
      <c r="E489" s="80">
        <v>-36.636780213999998</v>
      </c>
      <c r="F489" s="80">
        <v>4.0000000000000001E-3</v>
      </c>
      <c r="G489" s="80">
        <v>-100.644812907</v>
      </c>
      <c r="H489" s="80">
        <v>2.1000000000000001E-2</v>
      </c>
      <c r="I489" s="80">
        <v>12.549786973598653</v>
      </c>
      <c r="J489" s="80">
        <v>0.14716584599365212</v>
      </c>
      <c r="K489" s="80">
        <v>40.814071626597226</v>
      </c>
      <c r="L489" s="80">
        <v>0.60218521168739714</v>
      </c>
      <c r="N489" s="83">
        <v>16</v>
      </c>
      <c r="O489" s="83">
        <v>38</v>
      </c>
    </row>
    <row r="490" spans="1:9216 9218:13311 13313:16384" s="89" customFormat="1" x14ac:dyDescent="0.2">
      <c r="A490" s="87">
        <v>2796</v>
      </c>
      <c r="B490" s="87">
        <v>942</v>
      </c>
      <c r="C490" s="90">
        <v>42208</v>
      </c>
      <c r="D490" s="148" t="s">
        <v>958</v>
      </c>
      <c r="E490" s="88">
        <v>-36.980702946999997</v>
      </c>
      <c r="F490" s="88">
        <v>4.0000000000000001E-3</v>
      </c>
      <c r="G490" s="88">
        <v>-101.557465537</v>
      </c>
      <c r="H490" s="88">
        <v>0.02</v>
      </c>
      <c r="I490" s="88">
        <v>12.051484793810685</v>
      </c>
      <c r="J490" s="88">
        <v>0.13375165392543154</v>
      </c>
      <c r="K490" s="88">
        <v>42.639316701836179</v>
      </c>
      <c r="L490" s="88">
        <v>0.57282867409718108</v>
      </c>
      <c r="M490" s="148"/>
      <c r="N490" s="87">
        <v>20</v>
      </c>
      <c r="O490" s="87">
        <v>39</v>
      </c>
      <c r="P490" s="195"/>
      <c r="Q490" s="195"/>
      <c r="R490" s="195"/>
      <c r="S490" s="195"/>
      <c r="T490" s="195"/>
      <c r="U490" s="195"/>
      <c r="V490" s="183"/>
      <c r="W490" s="132"/>
      <c r="X490" s="132"/>
    </row>
    <row r="491" spans="1:9216 9218:13311 13313:16384" s="89" customFormat="1" x14ac:dyDescent="0.2">
      <c r="A491" s="87">
        <v>2798</v>
      </c>
      <c r="B491" s="87">
        <v>943</v>
      </c>
      <c r="C491" s="90">
        <v>42209</v>
      </c>
      <c r="D491" s="148" t="s">
        <v>959</v>
      </c>
      <c r="E491" s="88">
        <v>-26.090779770999998</v>
      </c>
      <c r="F491" s="88">
        <v>4.0000000000000001E-3</v>
      </c>
      <c r="G491" s="88">
        <v>-110.322694301</v>
      </c>
      <c r="H491" s="88">
        <v>2.3E-2</v>
      </c>
      <c r="I491" s="88">
        <v>7.4634628580154683</v>
      </c>
      <c r="J491" s="88">
        <v>0.1382412726092381</v>
      </c>
      <c r="K491" s="88">
        <v>25.184685813947283</v>
      </c>
      <c r="L491" s="88">
        <v>0.6173159612007264</v>
      </c>
      <c r="M491" s="148"/>
      <c r="N491" s="87">
        <v>16</v>
      </c>
      <c r="O491" s="87">
        <v>34</v>
      </c>
      <c r="P491" s="195"/>
      <c r="Q491" s="195"/>
      <c r="R491" s="195"/>
      <c r="S491" s="195"/>
      <c r="T491" s="195"/>
      <c r="U491" s="195"/>
      <c r="V491" s="183"/>
      <c r="W491" s="132"/>
      <c r="X491" s="132"/>
    </row>
    <row r="492" spans="1:9216 9218:13311 13313:16384" s="89" customFormat="1" x14ac:dyDescent="0.2">
      <c r="A492" s="91">
        <v>2800</v>
      </c>
      <c r="B492" s="91">
        <v>944</v>
      </c>
      <c r="C492" s="92">
        <v>42210</v>
      </c>
      <c r="D492" s="163" t="s">
        <v>785</v>
      </c>
      <c r="E492" s="93">
        <v>-25.766124418</v>
      </c>
      <c r="F492" s="93">
        <v>3.0000000000000001E-3</v>
      </c>
      <c r="G492" s="93">
        <v>-153.89480079099999</v>
      </c>
      <c r="H492" s="93">
        <v>1.7000000000000001E-2</v>
      </c>
      <c r="I492" s="93">
        <v>3.1417984083224049</v>
      </c>
      <c r="J492" s="93">
        <v>0.11704380459935561</v>
      </c>
      <c r="K492" s="93">
        <v>7.6479908603725999</v>
      </c>
      <c r="L492" s="93">
        <v>0.53641463542026691</v>
      </c>
      <c r="M492" s="163" t="s">
        <v>1004</v>
      </c>
      <c r="N492" s="87">
        <v>17</v>
      </c>
      <c r="O492" s="87">
        <v>37</v>
      </c>
      <c r="P492" s="195"/>
      <c r="Q492" s="195"/>
      <c r="R492" s="195"/>
      <c r="S492" s="195"/>
      <c r="T492" s="195"/>
      <c r="U492" s="195"/>
      <c r="V492" s="183"/>
      <c r="W492" s="132"/>
      <c r="X492" s="132"/>
    </row>
    <row r="493" spans="1:9216 9218:13311 13313:16384" ht="11.25" customHeight="1" x14ac:dyDescent="0.2">
      <c r="A493" s="56">
        <v>2802</v>
      </c>
      <c r="B493" s="61">
        <v>947</v>
      </c>
      <c r="C493" s="5">
        <v>42211</v>
      </c>
      <c r="D493" s="139" t="s">
        <v>960</v>
      </c>
      <c r="E493" s="8">
        <v>-69.350864716000004</v>
      </c>
      <c r="F493" s="8">
        <v>5.0000000000000001E-3</v>
      </c>
      <c r="G493" s="8">
        <v>-362.22893336599998</v>
      </c>
      <c r="H493" s="8">
        <v>2.7E-2</v>
      </c>
      <c r="I493" s="8">
        <v>0.98922147443314401</v>
      </c>
      <c r="J493" s="8">
        <v>0.20255707481819499</v>
      </c>
      <c r="K493" s="8">
        <v>-16.196941379400755</v>
      </c>
      <c r="L493" s="8">
        <v>0.85972368581070946</v>
      </c>
      <c r="M493" s="139" t="s">
        <v>1005</v>
      </c>
      <c r="N493" s="61">
        <v>10</v>
      </c>
      <c r="O493" s="61">
        <v>38</v>
      </c>
    </row>
    <row r="494" spans="1:9216 9218:13311 13313:16384" ht="11.25" customHeight="1" x14ac:dyDescent="0.2">
      <c r="A494" s="56">
        <v>2804</v>
      </c>
      <c r="B494" s="61">
        <v>948</v>
      </c>
      <c r="C494" s="5">
        <v>42212</v>
      </c>
      <c r="D494" s="139" t="s">
        <v>961</v>
      </c>
      <c r="E494" s="8">
        <v>-67.953016297000005</v>
      </c>
      <c r="F494" s="8">
        <v>5.0000000000000001E-3</v>
      </c>
      <c r="G494" s="8">
        <v>-361.87045846699999</v>
      </c>
      <c r="H494" s="8">
        <v>2.5999999999999999E-2</v>
      </c>
      <c r="I494" s="8">
        <v>7.7110166622817999E-2</v>
      </c>
      <c r="J494" s="8">
        <v>0.1750147875630898</v>
      </c>
      <c r="K494" s="8">
        <v>-16.552567533849928</v>
      </c>
      <c r="L494" s="8">
        <v>0.93810726444629788</v>
      </c>
      <c r="M494" s="139" t="s">
        <v>1006</v>
      </c>
      <c r="N494" s="61">
        <v>13</v>
      </c>
      <c r="O494" s="61">
        <v>28</v>
      </c>
    </row>
    <row r="495" spans="1:9216 9218:13311 13313:16384" ht="11.25" customHeight="1" x14ac:dyDescent="0.2">
      <c r="A495" s="56">
        <v>2806</v>
      </c>
      <c r="B495" s="61">
        <v>949</v>
      </c>
      <c r="C495" s="5">
        <v>42213</v>
      </c>
      <c r="D495" s="139" t="s">
        <v>962</v>
      </c>
      <c r="E495" s="8">
        <v>-69.638912047000005</v>
      </c>
      <c r="F495" s="8">
        <v>5.0000000000000001E-3</v>
      </c>
      <c r="G495" s="8">
        <v>-362.56200453199995</v>
      </c>
      <c r="H495" s="8">
        <v>2.9000000000000001E-2</v>
      </c>
      <c r="I495" s="8">
        <v>-0.48402306445594068</v>
      </c>
      <c r="J495" s="8">
        <v>0.2063001683790136</v>
      </c>
      <c r="K495" s="8">
        <v>-16.485557450146015</v>
      </c>
      <c r="L495" s="8">
        <v>1.0180587717007417</v>
      </c>
      <c r="M495" s="139" t="s">
        <v>1007</v>
      </c>
      <c r="N495" s="61">
        <v>10</v>
      </c>
      <c r="O495" s="61">
        <v>26</v>
      </c>
    </row>
    <row r="496" spans="1:9216 9218:13311 13313:16384" ht="11.25" customHeight="1" x14ac:dyDescent="0.2">
      <c r="A496" s="56">
        <v>2808</v>
      </c>
      <c r="B496" s="61">
        <v>950</v>
      </c>
      <c r="C496" s="5">
        <v>42214</v>
      </c>
      <c r="D496" s="139" t="s">
        <v>963</v>
      </c>
      <c r="E496" s="8">
        <v>-108.734352805</v>
      </c>
      <c r="F496" s="8">
        <v>6.0000000000000001E-3</v>
      </c>
      <c r="G496" s="8">
        <v>-287.00001204200004</v>
      </c>
      <c r="H496" s="8">
        <v>2.9000000000000001E-2</v>
      </c>
      <c r="I496" s="8">
        <v>-3.9509430804280932</v>
      </c>
      <c r="J496" s="8">
        <v>0.22163119238771817</v>
      </c>
      <c r="K496" s="8">
        <v>-48.10031707134965</v>
      </c>
      <c r="L496" s="8">
        <v>1.0361628856195753</v>
      </c>
      <c r="M496" s="139" t="s">
        <v>1008</v>
      </c>
      <c r="N496" s="61">
        <v>8</v>
      </c>
      <c r="O496" s="61">
        <v>24</v>
      </c>
    </row>
    <row r="497" spans="1:9216 9218:13311 13313:16384" ht="11.25" customHeight="1" x14ac:dyDescent="0.2">
      <c r="A497" s="56">
        <v>2812</v>
      </c>
      <c r="B497" s="61">
        <v>952</v>
      </c>
      <c r="C497" s="5">
        <v>367649</v>
      </c>
      <c r="D497" s="139" t="s">
        <v>966</v>
      </c>
      <c r="E497" s="8">
        <v>-7.5806078049999996</v>
      </c>
      <c r="F497" s="8">
        <v>6.0000000000000001E-3</v>
      </c>
      <c r="G497" s="8">
        <v>-141.48178414400002</v>
      </c>
      <c r="H497" s="8">
        <v>2.1999999999999999E-2</v>
      </c>
      <c r="I497" s="8">
        <v>2.3328081358542363</v>
      </c>
      <c r="J497" s="8">
        <v>0.17518109870930532</v>
      </c>
      <c r="K497" s="8">
        <v>13.778789553083204</v>
      </c>
      <c r="L497" s="8">
        <v>0.63100546788181955</v>
      </c>
      <c r="M497" s="139"/>
      <c r="N497" s="61"/>
      <c r="O497" s="61"/>
    </row>
    <row r="498" spans="1:9216 9218:13311 13313:16384" ht="11.25" customHeight="1" x14ac:dyDescent="0.2">
      <c r="A498" s="56">
        <v>2814</v>
      </c>
      <c r="B498" s="61">
        <v>954</v>
      </c>
      <c r="C498" s="5">
        <v>42220</v>
      </c>
      <c r="D498" s="139" t="s">
        <v>964</v>
      </c>
      <c r="E498" s="8">
        <v>-36.582999999999998</v>
      </c>
      <c r="F498" s="8">
        <v>9.0999999999999998E-2</v>
      </c>
      <c r="G498" s="8">
        <v>-59.112000000000002</v>
      </c>
      <c r="H498" s="8">
        <v>2.4E-2</v>
      </c>
      <c r="I498" s="8">
        <v>1.0229999999999999</v>
      </c>
      <c r="J498" s="8">
        <v>0.83599999999999997</v>
      </c>
      <c r="K498" s="8">
        <v>-1.6990000000000001</v>
      </c>
      <c r="L498" s="8">
        <v>0.59899999999999998</v>
      </c>
      <c r="M498" s="139"/>
      <c r="N498" s="61"/>
      <c r="O498" s="61"/>
    </row>
    <row r="499" spans="1:9216 9218:13311 13313:16384" x14ac:dyDescent="0.2">
      <c r="A499" s="94">
        <v>2817</v>
      </c>
      <c r="B499" s="94">
        <v>955</v>
      </c>
      <c r="C499" s="95">
        <v>42221</v>
      </c>
      <c r="D499" s="162" t="s">
        <v>785</v>
      </c>
      <c r="E499" s="97">
        <v>-25.655000000000001</v>
      </c>
      <c r="F499" s="97">
        <v>1.4999999999999999E-2</v>
      </c>
      <c r="G499" s="97">
        <v>-153.91999999999999</v>
      </c>
      <c r="H499" s="97">
        <v>2.4E-2</v>
      </c>
      <c r="I499" s="97">
        <v>3.077</v>
      </c>
      <c r="J499" s="97">
        <v>0.38900000000000001</v>
      </c>
      <c r="K499" s="97">
        <v>9.9860000000000007</v>
      </c>
      <c r="L499" s="97">
        <v>0.67800000000000005</v>
      </c>
      <c r="N499" s="94"/>
      <c r="O499" s="94"/>
      <c r="S499" s="97"/>
      <c r="T499" s="97"/>
      <c r="U499" s="97"/>
      <c r="V499" s="182"/>
      <c r="W499" s="133"/>
      <c r="X499" s="131"/>
      <c r="Y499" s="97"/>
      <c r="AA499" s="94"/>
      <c r="AB499" s="94"/>
      <c r="AC499" s="95"/>
      <c r="AD499" s="96"/>
      <c r="AE499" s="97"/>
      <c r="AF499" s="97"/>
      <c r="AG499" s="97"/>
      <c r="AH499" s="97"/>
      <c r="AI499" s="97"/>
      <c r="AJ499" s="97"/>
      <c r="AK499" s="97"/>
      <c r="AL499" s="97"/>
      <c r="AN499" s="94"/>
      <c r="AO499" s="94"/>
      <c r="AP499" s="95"/>
      <c r="AQ499" s="96"/>
      <c r="AR499" s="97"/>
      <c r="AS499" s="97"/>
      <c r="AT499" s="97"/>
      <c r="AU499" s="97"/>
      <c r="AV499" s="97"/>
      <c r="AW499" s="97"/>
      <c r="AX499" s="97"/>
      <c r="AY499" s="97"/>
      <c r="BA499" s="94"/>
      <c r="BB499" s="94"/>
      <c r="BC499" s="95"/>
      <c r="BD499" s="96"/>
      <c r="BE499" s="97"/>
      <c r="BF499" s="97"/>
      <c r="BG499" s="97"/>
      <c r="BH499" s="97"/>
      <c r="BI499" s="97"/>
      <c r="BJ499" s="97"/>
      <c r="BK499" s="97"/>
      <c r="BL499" s="97"/>
      <c r="BN499" s="94"/>
      <c r="BO499" s="94"/>
      <c r="BP499" s="95"/>
      <c r="BQ499" s="96"/>
      <c r="BR499" s="97"/>
      <c r="BS499" s="97"/>
      <c r="BT499" s="97"/>
      <c r="BU499" s="97"/>
      <c r="BV499" s="97"/>
      <c r="BW499" s="97"/>
      <c r="BX499" s="97"/>
      <c r="BY499" s="97"/>
      <c r="CA499" s="94"/>
      <c r="CB499" s="94"/>
      <c r="CC499" s="95"/>
      <c r="CD499" s="96"/>
      <c r="CE499" s="97"/>
      <c r="CF499" s="97"/>
      <c r="CG499" s="97"/>
      <c r="CH499" s="97"/>
      <c r="CI499" s="97"/>
      <c r="CJ499" s="97"/>
      <c r="CK499" s="97"/>
      <c r="CL499" s="97"/>
      <c r="CN499" s="94"/>
      <c r="CO499" s="94"/>
      <c r="CP499" s="95"/>
      <c r="CQ499" s="96"/>
      <c r="CR499" s="97"/>
      <c r="CS499" s="97"/>
      <c r="CT499" s="97"/>
      <c r="CU499" s="97"/>
      <c r="CV499" s="97"/>
      <c r="CW499" s="97"/>
      <c r="CX499" s="97"/>
      <c r="CY499" s="97"/>
      <c r="DA499" s="94"/>
      <c r="DB499" s="94"/>
      <c r="DC499" s="95"/>
      <c r="DD499" s="96"/>
      <c r="DE499" s="97"/>
      <c r="DF499" s="97"/>
      <c r="DG499" s="97"/>
      <c r="DH499" s="97"/>
      <c r="DI499" s="97"/>
      <c r="DJ499" s="97"/>
      <c r="DK499" s="97"/>
      <c r="DL499" s="97"/>
      <c r="DN499" s="94"/>
      <c r="DO499" s="94"/>
      <c r="DP499" s="95"/>
      <c r="DQ499" s="96"/>
      <c r="DR499" s="97"/>
      <c r="DS499" s="97"/>
      <c r="DT499" s="97"/>
      <c r="DU499" s="97"/>
      <c r="DV499" s="97"/>
      <c r="DW499" s="97"/>
      <c r="DX499" s="97"/>
      <c r="DY499" s="97"/>
      <c r="EA499" s="94"/>
      <c r="EB499" s="94"/>
      <c r="EC499" s="95"/>
      <c r="ED499" s="96"/>
      <c r="EE499" s="97"/>
      <c r="EF499" s="97"/>
      <c r="EG499" s="97"/>
      <c r="EH499" s="97"/>
      <c r="EI499" s="97"/>
      <c r="EJ499" s="97"/>
      <c r="EK499" s="97"/>
      <c r="EL499" s="97"/>
      <c r="EN499" s="94"/>
      <c r="EO499" s="94"/>
      <c r="EP499" s="95"/>
      <c r="EQ499" s="96"/>
      <c r="ER499" s="97"/>
      <c r="ES499" s="97"/>
      <c r="ET499" s="97"/>
      <c r="EU499" s="97"/>
      <c r="EV499" s="97"/>
      <c r="EW499" s="97"/>
      <c r="EX499" s="97"/>
      <c r="EY499" s="97"/>
      <c r="FA499" s="94"/>
      <c r="FB499" s="94"/>
      <c r="FC499" s="95"/>
      <c r="FD499" s="96"/>
      <c r="FE499" s="97"/>
      <c r="FF499" s="97"/>
      <c r="FG499" s="97"/>
      <c r="FH499" s="97"/>
      <c r="FI499" s="97"/>
      <c r="FJ499" s="97"/>
      <c r="FK499" s="97"/>
      <c r="FL499" s="97"/>
      <c r="FN499" s="94"/>
      <c r="FO499" s="94"/>
      <c r="FP499" s="95"/>
      <c r="FQ499" s="96"/>
      <c r="FR499" s="97"/>
      <c r="FS499" s="97"/>
      <c r="FT499" s="97"/>
      <c r="FU499" s="97"/>
      <c r="FV499" s="97"/>
      <c r="FW499" s="97"/>
      <c r="FX499" s="97"/>
      <c r="FY499" s="97"/>
      <c r="GA499" s="94"/>
      <c r="GB499" s="94"/>
      <c r="GC499" s="95"/>
      <c r="GD499" s="96"/>
      <c r="GE499" s="97"/>
      <c r="GF499" s="97"/>
      <c r="GG499" s="97"/>
      <c r="GH499" s="97"/>
      <c r="GI499" s="97"/>
      <c r="GJ499" s="97"/>
      <c r="GK499" s="97"/>
      <c r="GL499" s="97"/>
      <c r="GN499" s="94"/>
      <c r="GO499" s="94"/>
      <c r="GP499" s="95"/>
      <c r="GQ499" s="96"/>
      <c r="GR499" s="97"/>
      <c r="GS499" s="97"/>
      <c r="GT499" s="97"/>
      <c r="GU499" s="97"/>
      <c r="GV499" s="97"/>
      <c r="GW499" s="97"/>
      <c r="GX499" s="97"/>
      <c r="GY499" s="97"/>
      <c r="HA499" s="94"/>
      <c r="HB499" s="94"/>
      <c r="HC499" s="95"/>
      <c r="HD499" s="96"/>
      <c r="HE499" s="97"/>
      <c r="HF499" s="97"/>
      <c r="HG499" s="97"/>
      <c r="HH499" s="97"/>
      <c r="HI499" s="97"/>
      <c r="HJ499" s="97"/>
      <c r="HK499" s="97"/>
      <c r="HL499" s="97"/>
      <c r="HN499" s="94"/>
      <c r="HO499" s="94"/>
      <c r="HP499" s="95"/>
      <c r="HQ499" s="96"/>
      <c r="HR499" s="97"/>
      <c r="HS499" s="97"/>
      <c r="HT499" s="97"/>
      <c r="HU499" s="97"/>
      <c r="HV499" s="97"/>
      <c r="HW499" s="97"/>
      <c r="HX499" s="97"/>
      <c r="HY499" s="97"/>
      <c r="IA499" s="94"/>
      <c r="IB499" s="94"/>
      <c r="IC499" s="95"/>
      <c r="ID499" s="96"/>
      <c r="IE499" s="97"/>
      <c r="IF499" s="97"/>
      <c r="IG499" s="97"/>
      <c r="IH499" s="97"/>
      <c r="II499" s="97"/>
      <c r="IJ499" s="97"/>
      <c r="IK499" s="97"/>
      <c r="IL499" s="97"/>
      <c r="IN499" s="94"/>
      <c r="IO499" s="94"/>
      <c r="IP499" s="95"/>
      <c r="IQ499" s="96"/>
      <c r="IR499" s="97"/>
      <c r="IS499" s="97"/>
      <c r="IT499" s="97"/>
      <c r="IU499" s="97"/>
      <c r="IV499" s="97"/>
      <c r="IW499" s="97"/>
      <c r="IX499" s="97"/>
      <c r="IY499" s="97"/>
      <c r="JA499" s="94"/>
      <c r="JB499" s="94"/>
      <c r="JC499" s="95"/>
      <c r="JD499" s="96"/>
      <c r="JE499" s="97"/>
      <c r="JF499" s="97"/>
      <c r="JG499" s="97"/>
      <c r="JH499" s="97"/>
      <c r="JI499" s="97"/>
      <c r="JJ499" s="97"/>
      <c r="JK499" s="97"/>
      <c r="JL499" s="97"/>
      <c r="JN499" s="94"/>
      <c r="JO499" s="94"/>
      <c r="JP499" s="95"/>
      <c r="JQ499" s="96"/>
      <c r="JR499" s="97"/>
      <c r="JS499" s="97"/>
      <c r="JT499" s="97"/>
      <c r="JU499" s="97"/>
      <c r="JV499" s="97"/>
      <c r="JW499" s="97"/>
      <c r="JX499" s="97"/>
      <c r="JY499" s="97"/>
      <c r="KA499" s="94"/>
      <c r="KB499" s="94"/>
      <c r="KC499" s="95"/>
      <c r="KD499" s="96"/>
      <c r="KE499" s="97"/>
      <c r="KF499" s="97"/>
      <c r="KG499" s="97"/>
      <c r="KH499" s="97"/>
      <c r="KI499" s="97"/>
      <c r="KJ499" s="97"/>
      <c r="KK499" s="97"/>
      <c r="KL499" s="97"/>
      <c r="KN499" s="94"/>
      <c r="KO499" s="94"/>
      <c r="KP499" s="95"/>
      <c r="KQ499" s="96"/>
      <c r="KR499" s="97"/>
      <c r="KS499" s="97"/>
      <c r="KT499" s="97"/>
      <c r="KU499" s="97"/>
      <c r="KV499" s="97"/>
      <c r="KW499" s="97"/>
      <c r="KX499" s="97"/>
      <c r="KY499" s="97"/>
      <c r="LA499" s="94"/>
      <c r="LB499" s="94"/>
      <c r="LC499" s="95"/>
      <c r="LD499" s="96"/>
      <c r="LE499" s="97"/>
      <c r="LF499" s="97"/>
      <c r="LG499" s="97"/>
      <c r="LH499" s="97"/>
      <c r="LI499" s="97"/>
      <c r="LJ499" s="97"/>
      <c r="LK499" s="97"/>
      <c r="LL499" s="97"/>
      <c r="LN499" s="94"/>
      <c r="LO499" s="94"/>
      <c r="LP499" s="95"/>
      <c r="LQ499" s="96"/>
      <c r="LR499" s="97"/>
      <c r="LS499" s="97"/>
      <c r="LT499" s="97"/>
      <c r="LU499" s="97"/>
      <c r="LV499" s="97"/>
      <c r="LW499" s="97"/>
      <c r="LX499" s="97"/>
      <c r="LY499" s="97"/>
      <c r="MA499" s="94"/>
      <c r="MB499" s="94"/>
      <c r="MC499" s="95"/>
      <c r="MD499" s="96"/>
      <c r="ME499" s="97"/>
      <c r="MF499" s="97"/>
      <c r="MG499" s="97"/>
      <c r="MH499" s="97"/>
      <c r="MI499" s="97"/>
      <c r="MJ499" s="97"/>
      <c r="MK499" s="97"/>
      <c r="ML499" s="97"/>
      <c r="MN499" s="94"/>
      <c r="MO499" s="94"/>
      <c r="MP499" s="95"/>
      <c r="MQ499" s="96"/>
      <c r="MR499" s="97"/>
      <c r="MS499" s="97"/>
      <c r="MT499" s="97"/>
      <c r="MU499" s="97"/>
      <c r="MV499" s="97"/>
      <c r="MW499" s="97"/>
      <c r="MX499" s="97"/>
      <c r="MY499" s="97"/>
      <c r="NA499" s="94"/>
      <c r="NB499" s="94"/>
      <c r="NC499" s="95"/>
      <c r="ND499" s="96"/>
      <c r="NE499" s="97"/>
      <c r="NF499" s="97"/>
      <c r="NG499" s="97"/>
      <c r="NH499" s="97"/>
      <c r="NI499" s="97"/>
      <c r="NJ499" s="97"/>
      <c r="NK499" s="97"/>
      <c r="NL499" s="97"/>
      <c r="NN499" s="94"/>
      <c r="NO499" s="94"/>
      <c r="NP499" s="95"/>
      <c r="NQ499" s="96"/>
      <c r="NR499" s="97"/>
      <c r="NS499" s="97"/>
      <c r="NT499" s="97"/>
      <c r="NU499" s="97"/>
      <c r="NV499" s="97"/>
      <c r="NW499" s="97"/>
      <c r="NX499" s="97"/>
      <c r="NY499" s="97"/>
      <c r="OA499" s="94"/>
      <c r="OB499" s="94"/>
      <c r="OC499" s="95"/>
      <c r="OD499" s="96"/>
      <c r="OE499" s="97"/>
      <c r="OF499" s="97"/>
      <c r="OG499" s="97"/>
      <c r="OH499" s="97"/>
      <c r="OI499" s="97"/>
      <c r="OJ499" s="97"/>
      <c r="OK499" s="97"/>
      <c r="OL499" s="97"/>
      <c r="ON499" s="94"/>
      <c r="OO499" s="94"/>
      <c r="OP499" s="95"/>
      <c r="OQ499" s="96"/>
      <c r="OR499" s="97"/>
      <c r="OS499" s="97"/>
      <c r="OT499" s="97"/>
      <c r="OU499" s="97"/>
      <c r="OV499" s="97"/>
      <c r="OW499" s="97"/>
      <c r="OX499" s="97"/>
      <c r="OY499" s="97"/>
      <c r="PA499" s="94"/>
      <c r="PB499" s="94"/>
      <c r="PC499" s="95"/>
      <c r="PD499" s="96"/>
      <c r="PE499" s="97"/>
      <c r="PF499" s="97"/>
      <c r="PG499" s="97"/>
      <c r="PH499" s="97"/>
      <c r="PI499" s="97"/>
      <c r="PJ499" s="97"/>
      <c r="PK499" s="97"/>
      <c r="PL499" s="97"/>
      <c r="PN499" s="94"/>
      <c r="PO499" s="94"/>
      <c r="PP499" s="95"/>
      <c r="PQ499" s="96"/>
      <c r="PR499" s="97"/>
      <c r="PS499" s="97"/>
      <c r="PT499" s="97"/>
      <c r="PU499" s="97"/>
      <c r="PV499" s="97"/>
      <c r="PW499" s="97"/>
      <c r="PX499" s="97"/>
      <c r="PY499" s="97"/>
      <c r="QA499" s="94"/>
      <c r="QB499" s="94"/>
      <c r="QC499" s="95"/>
      <c r="QD499" s="96"/>
      <c r="QE499" s="97"/>
      <c r="QF499" s="97"/>
      <c r="QG499" s="97"/>
      <c r="QH499" s="97"/>
      <c r="QI499" s="97"/>
      <c r="QJ499" s="97"/>
      <c r="QK499" s="97"/>
      <c r="QL499" s="97"/>
      <c r="QN499" s="94"/>
      <c r="QO499" s="94"/>
      <c r="QP499" s="95"/>
      <c r="QQ499" s="96"/>
      <c r="QR499" s="97"/>
      <c r="QS499" s="97"/>
      <c r="QT499" s="97"/>
      <c r="QU499" s="97"/>
      <c r="QV499" s="97"/>
      <c r="QW499" s="97"/>
      <c r="QX499" s="97"/>
      <c r="QY499" s="97"/>
      <c r="RA499" s="94"/>
      <c r="RB499" s="94"/>
      <c r="RC499" s="95"/>
      <c r="RD499" s="96"/>
      <c r="RE499" s="97"/>
      <c r="RF499" s="97"/>
      <c r="RG499" s="97"/>
      <c r="RH499" s="97"/>
      <c r="RI499" s="97"/>
      <c r="RJ499" s="97"/>
      <c r="RK499" s="97"/>
      <c r="RL499" s="97"/>
      <c r="RN499" s="94"/>
      <c r="RO499" s="94"/>
      <c r="RP499" s="95"/>
      <c r="RQ499" s="96"/>
      <c r="RR499" s="97"/>
      <c r="RS499" s="97"/>
      <c r="RT499" s="97"/>
      <c r="RU499" s="97"/>
      <c r="RV499" s="97"/>
      <c r="RW499" s="97"/>
      <c r="RX499" s="97"/>
      <c r="RY499" s="97"/>
      <c r="SA499" s="94"/>
      <c r="SB499" s="94"/>
      <c r="SC499" s="95"/>
      <c r="SD499" s="96"/>
      <c r="SE499" s="97"/>
      <c r="SF499" s="97"/>
      <c r="SG499" s="97"/>
      <c r="SH499" s="97"/>
      <c r="SI499" s="97"/>
      <c r="SJ499" s="97"/>
      <c r="SK499" s="97"/>
      <c r="SL499" s="97"/>
      <c r="SN499" s="94"/>
      <c r="SO499" s="94"/>
      <c r="SP499" s="95"/>
      <c r="SQ499" s="96"/>
      <c r="SR499" s="97"/>
      <c r="SS499" s="97"/>
      <c r="ST499" s="97"/>
      <c r="SU499" s="97"/>
      <c r="SV499" s="97"/>
      <c r="SW499" s="97"/>
      <c r="SX499" s="97"/>
      <c r="SY499" s="97"/>
      <c r="TA499" s="94"/>
      <c r="TB499" s="94"/>
      <c r="TC499" s="95"/>
      <c r="TD499" s="96"/>
      <c r="TE499" s="97"/>
      <c r="TF499" s="97"/>
      <c r="TG499" s="97"/>
      <c r="TH499" s="97"/>
      <c r="TI499" s="97"/>
      <c r="TJ499" s="97"/>
      <c r="TK499" s="97"/>
      <c r="TL499" s="97"/>
      <c r="TN499" s="94"/>
      <c r="TO499" s="94"/>
      <c r="TP499" s="95"/>
      <c r="TQ499" s="96"/>
      <c r="TR499" s="97"/>
      <c r="TS499" s="97"/>
      <c r="TT499" s="97"/>
      <c r="TU499" s="97"/>
      <c r="TV499" s="97"/>
      <c r="TW499" s="97"/>
      <c r="TX499" s="97"/>
      <c r="TY499" s="97"/>
      <c r="UA499" s="94"/>
      <c r="UB499" s="94"/>
      <c r="UC499" s="95"/>
      <c r="UD499" s="96"/>
      <c r="UE499" s="97"/>
      <c r="UF499" s="97"/>
      <c r="UG499" s="97"/>
      <c r="UH499" s="97"/>
      <c r="UI499" s="97"/>
      <c r="UJ499" s="97"/>
      <c r="UK499" s="97"/>
      <c r="UL499" s="97"/>
      <c r="UN499" s="94"/>
      <c r="UO499" s="94"/>
      <c r="UP499" s="95"/>
      <c r="UQ499" s="96"/>
      <c r="UR499" s="97"/>
      <c r="US499" s="97"/>
      <c r="UT499" s="97"/>
      <c r="UU499" s="97"/>
      <c r="UV499" s="97"/>
      <c r="UW499" s="97"/>
      <c r="UX499" s="97"/>
      <c r="UY499" s="97"/>
      <c r="VA499" s="94"/>
      <c r="VB499" s="94"/>
      <c r="VC499" s="95"/>
      <c r="VD499" s="96"/>
      <c r="VE499" s="97"/>
      <c r="VF499" s="97"/>
      <c r="VG499" s="97"/>
      <c r="VH499" s="97"/>
      <c r="VI499" s="97"/>
      <c r="VJ499" s="97"/>
      <c r="VK499" s="97"/>
      <c r="VL499" s="97"/>
      <c r="VN499" s="94"/>
      <c r="VO499" s="94"/>
      <c r="VP499" s="95"/>
      <c r="VQ499" s="96"/>
      <c r="VR499" s="97"/>
      <c r="VS499" s="97"/>
      <c r="VT499" s="97"/>
      <c r="VU499" s="97"/>
      <c r="VV499" s="97"/>
      <c r="VW499" s="97"/>
      <c r="VX499" s="97"/>
      <c r="VY499" s="97"/>
      <c r="WA499" s="94"/>
      <c r="WB499" s="94"/>
      <c r="WC499" s="95"/>
      <c r="WD499" s="96"/>
      <c r="WE499" s="97"/>
      <c r="WF499" s="97"/>
      <c r="WG499" s="97"/>
      <c r="WH499" s="97"/>
      <c r="WI499" s="97"/>
      <c r="WJ499" s="97"/>
      <c r="WK499" s="97"/>
      <c r="WL499" s="97"/>
      <c r="WN499" s="94"/>
      <c r="WO499" s="94"/>
      <c r="WP499" s="95"/>
      <c r="WQ499" s="96"/>
      <c r="WR499" s="97"/>
      <c r="WS499" s="97"/>
      <c r="WT499" s="97"/>
      <c r="WU499" s="97"/>
      <c r="WV499" s="97"/>
      <c r="WW499" s="97"/>
      <c r="WX499" s="97"/>
      <c r="WY499" s="97"/>
      <c r="XA499" s="94"/>
      <c r="XB499" s="94"/>
      <c r="XC499" s="95"/>
      <c r="XD499" s="96"/>
      <c r="XE499" s="97"/>
      <c r="XF499" s="97"/>
      <c r="XG499" s="97"/>
      <c r="XH499" s="97"/>
      <c r="XI499" s="97"/>
      <c r="XJ499" s="97"/>
      <c r="XK499" s="97"/>
      <c r="XL499" s="97"/>
      <c r="XN499" s="94"/>
      <c r="XO499" s="94"/>
      <c r="XP499" s="95"/>
      <c r="XQ499" s="96"/>
      <c r="XR499" s="97"/>
      <c r="XS499" s="97"/>
      <c r="XT499" s="97"/>
      <c r="XU499" s="97"/>
      <c r="XV499" s="97"/>
      <c r="XW499" s="97"/>
      <c r="XX499" s="97"/>
      <c r="XY499" s="97"/>
      <c r="YA499" s="94"/>
      <c r="YB499" s="94"/>
      <c r="YC499" s="95"/>
      <c r="YD499" s="96"/>
      <c r="YE499" s="97"/>
      <c r="YF499" s="97"/>
      <c r="YG499" s="97"/>
      <c r="YH499" s="97"/>
      <c r="YI499" s="97"/>
      <c r="YJ499" s="97"/>
      <c r="YK499" s="97"/>
      <c r="YL499" s="97"/>
      <c r="YN499" s="94"/>
      <c r="YO499" s="94"/>
      <c r="YP499" s="95"/>
      <c r="YQ499" s="96"/>
      <c r="YR499" s="97"/>
      <c r="YS499" s="97"/>
      <c r="YT499" s="97"/>
      <c r="YU499" s="97"/>
      <c r="YV499" s="97"/>
      <c r="YW499" s="97"/>
      <c r="YX499" s="97"/>
      <c r="YY499" s="97"/>
      <c r="ZA499" s="94"/>
      <c r="ZB499" s="94"/>
      <c r="ZC499" s="95"/>
      <c r="ZD499" s="96"/>
      <c r="ZE499" s="97"/>
      <c r="ZF499" s="97"/>
      <c r="ZG499" s="97"/>
      <c r="ZH499" s="97"/>
      <c r="ZI499" s="97"/>
      <c r="ZJ499" s="97"/>
      <c r="ZK499" s="97"/>
      <c r="ZL499" s="97"/>
      <c r="ZN499" s="94"/>
      <c r="ZO499" s="94"/>
      <c r="ZP499" s="95"/>
      <c r="ZQ499" s="96"/>
      <c r="ZR499" s="97"/>
      <c r="ZS499" s="97"/>
      <c r="ZT499" s="97"/>
      <c r="ZU499" s="97"/>
      <c r="ZV499" s="97"/>
      <c r="ZW499" s="97"/>
      <c r="ZX499" s="97"/>
      <c r="ZY499" s="97"/>
      <c r="AAA499" s="94"/>
      <c r="AAB499" s="94"/>
      <c r="AAC499" s="95"/>
      <c r="AAD499" s="96"/>
      <c r="AAE499" s="97"/>
      <c r="AAF499" s="97"/>
      <c r="AAG499" s="97"/>
      <c r="AAH499" s="97"/>
      <c r="AAI499" s="97"/>
      <c r="AAJ499" s="97"/>
      <c r="AAK499" s="97"/>
      <c r="AAL499" s="97"/>
      <c r="AAN499" s="94"/>
      <c r="AAO499" s="94"/>
      <c r="AAP499" s="95"/>
      <c r="AAQ499" s="96"/>
      <c r="AAR499" s="97"/>
      <c r="AAS499" s="97"/>
      <c r="AAT499" s="97"/>
      <c r="AAU499" s="97"/>
      <c r="AAV499" s="97"/>
      <c r="AAW499" s="97"/>
      <c r="AAX499" s="97"/>
      <c r="AAY499" s="97"/>
      <c r="ABA499" s="94"/>
      <c r="ABB499" s="94"/>
      <c r="ABC499" s="95"/>
      <c r="ABD499" s="96"/>
      <c r="ABE499" s="97"/>
      <c r="ABF499" s="97"/>
      <c r="ABG499" s="97"/>
      <c r="ABH499" s="97"/>
      <c r="ABI499" s="97"/>
      <c r="ABJ499" s="97"/>
      <c r="ABK499" s="97"/>
      <c r="ABL499" s="97"/>
      <c r="ABN499" s="94"/>
      <c r="ABO499" s="94"/>
      <c r="ABP499" s="95"/>
      <c r="ABQ499" s="96"/>
      <c r="ABR499" s="97"/>
      <c r="ABS499" s="97"/>
      <c r="ABT499" s="97"/>
      <c r="ABU499" s="97"/>
      <c r="ABV499" s="97"/>
      <c r="ABW499" s="97"/>
      <c r="ABX499" s="97"/>
      <c r="ABY499" s="97"/>
      <c r="ACA499" s="94"/>
      <c r="ACB499" s="94"/>
      <c r="ACC499" s="95"/>
      <c r="ACD499" s="96"/>
      <c r="ACE499" s="97"/>
      <c r="ACF499" s="97"/>
      <c r="ACG499" s="97"/>
      <c r="ACH499" s="97"/>
      <c r="ACI499" s="97"/>
      <c r="ACJ499" s="97"/>
      <c r="ACK499" s="97"/>
      <c r="ACL499" s="97"/>
      <c r="ACN499" s="94"/>
      <c r="ACO499" s="94"/>
      <c r="ACP499" s="95"/>
      <c r="ACQ499" s="96"/>
      <c r="ACR499" s="97"/>
      <c r="ACS499" s="97"/>
      <c r="ACT499" s="97"/>
      <c r="ACU499" s="97"/>
      <c r="ACV499" s="97"/>
      <c r="ACW499" s="97"/>
      <c r="ACX499" s="97"/>
      <c r="ACY499" s="97"/>
      <c r="ADA499" s="94"/>
      <c r="ADB499" s="94"/>
      <c r="ADC499" s="95"/>
      <c r="ADD499" s="96"/>
      <c r="ADE499" s="97"/>
      <c r="ADF499" s="97"/>
      <c r="ADG499" s="97"/>
      <c r="ADH499" s="97"/>
      <c r="ADI499" s="97"/>
      <c r="ADJ499" s="97"/>
      <c r="ADK499" s="97"/>
      <c r="ADL499" s="97"/>
      <c r="ADN499" s="94"/>
      <c r="ADO499" s="94"/>
      <c r="ADP499" s="95"/>
      <c r="ADQ499" s="96"/>
      <c r="ADR499" s="97"/>
      <c r="ADS499" s="97"/>
      <c r="ADT499" s="97"/>
      <c r="ADU499" s="97"/>
      <c r="ADV499" s="97"/>
      <c r="ADW499" s="97"/>
      <c r="ADX499" s="97"/>
      <c r="ADY499" s="97"/>
      <c r="AEA499" s="94"/>
      <c r="AEB499" s="94"/>
      <c r="AEC499" s="95"/>
      <c r="AED499" s="96"/>
      <c r="AEE499" s="97"/>
      <c r="AEF499" s="97"/>
      <c r="AEG499" s="97"/>
      <c r="AEH499" s="97"/>
      <c r="AEI499" s="97"/>
      <c r="AEJ499" s="97"/>
      <c r="AEK499" s="97"/>
      <c r="AEL499" s="97"/>
      <c r="AEN499" s="94"/>
      <c r="AEO499" s="94"/>
      <c r="AEP499" s="95"/>
      <c r="AEQ499" s="96"/>
      <c r="AER499" s="97"/>
      <c r="AES499" s="97"/>
      <c r="AET499" s="97"/>
      <c r="AEU499" s="97"/>
      <c r="AEV499" s="97"/>
      <c r="AEW499" s="97"/>
      <c r="AEX499" s="97"/>
      <c r="AEY499" s="97"/>
      <c r="AFA499" s="94"/>
      <c r="AFB499" s="94"/>
      <c r="AFC499" s="95"/>
      <c r="AFD499" s="96"/>
      <c r="AFE499" s="97"/>
      <c r="AFF499" s="97"/>
      <c r="AFG499" s="97"/>
      <c r="AFH499" s="97"/>
      <c r="AFI499" s="97"/>
      <c r="AFJ499" s="97"/>
      <c r="AFK499" s="97"/>
      <c r="AFL499" s="97"/>
      <c r="AFN499" s="94"/>
      <c r="AFO499" s="94"/>
      <c r="AFP499" s="95"/>
      <c r="AFQ499" s="96"/>
      <c r="AFR499" s="97"/>
      <c r="AFS499" s="97"/>
      <c r="AFT499" s="97"/>
      <c r="AFU499" s="97"/>
      <c r="AFV499" s="97"/>
      <c r="AFW499" s="97"/>
      <c r="AFX499" s="97"/>
      <c r="AFY499" s="97"/>
      <c r="AGA499" s="94"/>
      <c r="AGB499" s="94"/>
      <c r="AGC499" s="95"/>
      <c r="AGD499" s="96"/>
      <c r="AGE499" s="97"/>
      <c r="AGF499" s="97"/>
      <c r="AGG499" s="97"/>
      <c r="AGH499" s="97"/>
      <c r="AGI499" s="97"/>
      <c r="AGJ499" s="97"/>
      <c r="AGK499" s="97"/>
      <c r="AGL499" s="97"/>
      <c r="AGN499" s="94"/>
      <c r="AGO499" s="94"/>
      <c r="AGP499" s="95"/>
      <c r="AGQ499" s="96"/>
      <c r="AGR499" s="97"/>
      <c r="AGS499" s="97"/>
      <c r="AGT499" s="97"/>
      <c r="AGU499" s="97"/>
      <c r="AGV499" s="97"/>
      <c r="AGW499" s="97"/>
      <c r="AGX499" s="97"/>
      <c r="AGY499" s="97"/>
      <c r="AHA499" s="94"/>
      <c r="AHB499" s="94"/>
      <c r="AHC499" s="95"/>
      <c r="AHD499" s="96"/>
      <c r="AHE499" s="97"/>
      <c r="AHF499" s="97"/>
      <c r="AHG499" s="97"/>
      <c r="AHH499" s="97"/>
      <c r="AHI499" s="97"/>
      <c r="AHJ499" s="97"/>
      <c r="AHK499" s="97"/>
      <c r="AHL499" s="97"/>
      <c r="AHN499" s="94"/>
      <c r="AHO499" s="94"/>
      <c r="AHP499" s="95"/>
      <c r="AHQ499" s="96"/>
      <c r="AHR499" s="97"/>
      <c r="AHS499" s="97"/>
      <c r="AHT499" s="97"/>
      <c r="AHU499" s="97"/>
      <c r="AHV499" s="97"/>
      <c r="AHW499" s="97"/>
      <c r="AHX499" s="97"/>
      <c r="AHY499" s="97"/>
      <c r="AIA499" s="94"/>
      <c r="AIB499" s="94"/>
      <c r="AIC499" s="95"/>
      <c r="AID499" s="96"/>
      <c r="AIE499" s="97"/>
      <c r="AIF499" s="97"/>
      <c r="AIG499" s="97"/>
      <c r="AIH499" s="97"/>
      <c r="AII499" s="97"/>
      <c r="AIJ499" s="97"/>
      <c r="AIK499" s="97"/>
      <c r="AIL499" s="97"/>
      <c r="AIN499" s="94"/>
      <c r="AIO499" s="94"/>
      <c r="AIP499" s="95"/>
      <c r="AIQ499" s="96"/>
      <c r="AIR499" s="97"/>
      <c r="AIS499" s="97"/>
      <c r="AIT499" s="97"/>
      <c r="AIU499" s="97"/>
      <c r="AIV499" s="97"/>
      <c r="AIW499" s="97"/>
      <c r="AIX499" s="97"/>
      <c r="AIY499" s="97"/>
      <c r="AJA499" s="94"/>
      <c r="AJB499" s="94"/>
      <c r="AJC499" s="95"/>
      <c r="AJD499" s="96"/>
      <c r="AJE499" s="97"/>
      <c r="AJF499" s="97"/>
      <c r="AJG499" s="97"/>
      <c r="AJH499" s="97"/>
      <c r="AJI499" s="97"/>
      <c r="AJJ499" s="97"/>
      <c r="AJK499" s="97"/>
      <c r="AJL499" s="97"/>
      <c r="AJN499" s="94"/>
      <c r="AJO499" s="94"/>
      <c r="AJP499" s="95"/>
      <c r="AJQ499" s="96"/>
      <c r="AJR499" s="97"/>
      <c r="AJS499" s="97"/>
      <c r="AJT499" s="97"/>
      <c r="AJU499" s="97"/>
      <c r="AJV499" s="97"/>
      <c r="AJW499" s="97"/>
      <c r="AJX499" s="97"/>
      <c r="AJY499" s="97"/>
      <c r="AKA499" s="94"/>
      <c r="AKB499" s="94"/>
      <c r="AKC499" s="95"/>
      <c r="AKD499" s="96"/>
      <c r="AKE499" s="97"/>
      <c r="AKF499" s="97"/>
      <c r="AKG499" s="97"/>
      <c r="AKH499" s="97"/>
      <c r="AKI499" s="97"/>
      <c r="AKJ499" s="97"/>
      <c r="AKK499" s="97"/>
      <c r="AKL499" s="97"/>
      <c r="AKN499" s="94"/>
      <c r="AKO499" s="94"/>
      <c r="AKP499" s="95"/>
      <c r="AKQ499" s="96"/>
      <c r="AKR499" s="97"/>
      <c r="AKS499" s="97"/>
      <c r="AKT499" s="97"/>
      <c r="AKU499" s="97"/>
      <c r="AKV499" s="97"/>
      <c r="AKW499" s="97"/>
      <c r="AKX499" s="97"/>
      <c r="AKY499" s="97"/>
      <c r="ALA499" s="94"/>
      <c r="ALB499" s="94"/>
      <c r="ALC499" s="95"/>
      <c r="ALD499" s="96"/>
      <c r="ALE499" s="97"/>
      <c r="ALF499" s="97"/>
      <c r="ALG499" s="97"/>
      <c r="ALH499" s="97"/>
      <c r="ALI499" s="97"/>
      <c r="ALJ499" s="97"/>
      <c r="ALK499" s="97"/>
      <c r="ALL499" s="97"/>
      <c r="ALN499" s="94"/>
      <c r="ALO499" s="94"/>
      <c r="ALP499" s="95"/>
      <c r="ALQ499" s="96"/>
      <c r="ALR499" s="97"/>
      <c r="ALS499" s="97"/>
      <c r="ALT499" s="97"/>
      <c r="ALU499" s="97"/>
      <c r="ALV499" s="97"/>
      <c r="ALW499" s="97"/>
      <c r="ALX499" s="97"/>
      <c r="ALY499" s="97"/>
      <c r="AMA499" s="94"/>
      <c r="AMB499" s="94"/>
      <c r="AMC499" s="95"/>
      <c r="AMD499" s="96"/>
      <c r="AME499" s="97"/>
      <c r="AMF499" s="97"/>
      <c r="AMG499" s="97"/>
      <c r="AMH499" s="97"/>
      <c r="AMI499" s="97"/>
      <c r="AMJ499" s="97"/>
      <c r="AMK499" s="97"/>
      <c r="AML499" s="97"/>
      <c r="AMN499" s="94"/>
      <c r="AMO499" s="94"/>
      <c r="AMP499" s="95"/>
      <c r="AMQ499" s="96"/>
      <c r="AMR499" s="97"/>
      <c r="AMS499" s="97"/>
      <c r="AMT499" s="97"/>
      <c r="AMU499" s="97"/>
      <c r="AMV499" s="97"/>
      <c r="AMW499" s="97"/>
      <c r="AMX499" s="97"/>
      <c r="AMY499" s="97"/>
      <c r="ANA499" s="94"/>
      <c r="ANB499" s="94"/>
      <c r="ANC499" s="95"/>
      <c r="AND499" s="96"/>
      <c r="ANE499" s="97"/>
      <c r="ANF499" s="97"/>
      <c r="ANG499" s="97"/>
      <c r="ANH499" s="97"/>
      <c r="ANI499" s="97"/>
      <c r="ANJ499" s="97"/>
      <c r="ANK499" s="97"/>
      <c r="ANL499" s="97"/>
      <c r="ANN499" s="94"/>
      <c r="ANO499" s="94"/>
      <c r="ANP499" s="95"/>
      <c r="ANQ499" s="96"/>
      <c r="ANR499" s="97"/>
      <c r="ANS499" s="97"/>
      <c r="ANT499" s="97"/>
      <c r="ANU499" s="97"/>
      <c r="ANV499" s="97"/>
      <c r="ANW499" s="97"/>
      <c r="ANX499" s="97"/>
      <c r="ANY499" s="97"/>
      <c r="AOA499" s="94"/>
      <c r="AOB499" s="94"/>
      <c r="AOC499" s="95"/>
      <c r="AOD499" s="96"/>
      <c r="AOE499" s="97"/>
      <c r="AOF499" s="97"/>
      <c r="AOG499" s="97"/>
      <c r="AOH499" s="97"/>
      <c r="AOI499" s="97"/>
      <c r="AOJ499" s="97"/>
      <c r="AOK499" s="97"/>
      <c r="AOL499" s="97"/>
      <c r="AON499" s="94"/>
      <c r="AOO499" s="94"/>
      <c r="AOP499" s="95"/>
      <c r="AOQ499" s="96"/>
      <c r="AOR499" s="97"/>
      <c r="AOS499" s="97"/>
      <c r="AOT499" s="97"/>
      <c r="AOU499" s="97"/>
      <c r="AOV499" s="97"/>
      <c r="AOW499" s="97"/>
      <c r="AOX499" s="97"/>
      <c r="AOY499" s="97"/>
      <c r="APA499" s="94"/>
      <c r="APB499" s="94"/>
      <c r="APC499" s="95"/>
      <c r="APD499" s="96"/>
      <c r="APE499" s="97"/>
      <c r="APF499" s="97"/>
      <c r="APG499" s="97"/>
      <c r="APH499" s="97"/>
      <c r="API499" s="97"/>
      <c r="APJ499" s="97"/>
      <c r="APK499" s="97"/>
      <c r="APL499" s="97"/>
      <c r="APN499" s="94"/>
      <c r="APO499" s="94"/>
      <c r="APP499" s="95"/>
      <c r="APQ499" s="96"/>
      <c r="APR499" s="97"/>
      <c r="APS499" s="97"/>
      <c r="APT499" s="97"/>
      <c r="APU499" s="97"/>
      <c r="APV499" s="97"/>
      <c r="APW499" s="97"/>
      <c r="APX499" s="97"/>
      <c r="APY499" s="97"/>
      <c r="AQA499" s="94"/>
      <c r="AQB499" s="94"/>
      <c r="AQC499" s="95"/>
      <c r="AQD499" s="96"/>
      <c r="AQE499" s="97"/>
      <c r="AQF499" s="97"/>
      <c r="AQG499" s="97"/>
      <c r="AQH499" s="97"/>
      <c r="AQI499" s="97"/>
      <c r="AQJ499" s="97"/>
      <c r="AQK499" s="97"/>
      <c r="AQL499" s="97"/>
      <c r="AQN499" s="94"/>
      <c r="AQO499" s="94"/>
      <c r="AQP499" s="95"/>
      <c r="AQQ499" s="96"/>
      <c r="AQR499" s="97"/>
      <c r="AQS499" s="97"/>
      <c r="AQT499" s="97"/>
      <c r="AQU499" s="97"/>
      <c r="AQV499" s="97"/>
      <c r="AQW499" s="97"/>
      <c r="AQX499" s="97"/>
      <c r="AQY499" s="97"/>
      <c r="ARA499" s="94"/>
      <c r="ARB499" s="94"/>
      <c r="ARC499" s="95"/>
      <c r="ARD499" s="96"/>
      <c r="ARE499" s="97"/>
      <c r="ARF499" s="97"/>
      <c r="ARG499" s="97"/>
      <c r="ARH499" s="97"/>
      <c r="ARI499" s="97"/>
      <c r="ARJ499" s="97"/>
      <c r="ARK499" s="97"/>
      <c r="ARL499" s="97"/>
      <c r="ARN499" s="94"/>
      <c r="ARO499" s="94"/>
      <c r="ARP499" s="95"/>
      <c r="ARQ499" s="96"/>
      <c r="ARR499" s="97"/>
      <c r="ARS499" s="97"/>
      <c r="ART499" s="97"/>
      <c r="ARU499" s="97"/>
      <c r="ARV499" s="97"/>
      <c r="ARW499" s="97"/>
      <c r="ARX499" s="97"/>
      <c r="ARY499" s="97"/>
      <c r="ASA499" s="94"/>
      <c r="ASB499" s="94"/>
      <c r="ASC499" s="95"/>
      <c r="ASD499" s="96"/>
      <c r="ASE499" s="97"/>
      <c r="ASF499" s="97"/>
      <c r="ASG499" s="97"/>
      <c r="ASH499" s="97"/>
      <c r="ASI499" s="97"/>
      <c r="ASJ499" s="97"/>
      <c r="ASK499" s="97"/>
      <c r="ASL499" s="97"/>
      <c r="ASN499" s="94"/>
      <c r="ASO499" s="94"/>
      <c r="ASP499" s="95"/>
      <c r="ASQ499" s="96"/>
      <c r="ASR499" s="97"/>
      <c r="ASS499" s="97"/>
      <c r="AST499" s="97"/>
      <c r="ASU499" s="97"/>
      <c r="ASV499" s="97"/>
      <c r="ASW499" s="97"/>
      <c r="ASX499" s="97"/>
      <c r="ASY499" s="97"/>
      <c r="ATA499" s="94"/>
      <c r="ATB499" s="94"/>
      <c r="ATC499" s="95"/>
      <c r="ATD499" s="96"/>
      <c r="ATE499" s="97"/>
      <c r="ATF499" s="97"/>
      <c r="ATG499" s="97"/>
      <c r="ATH499" s="97"/>
      <c r="ATI499" s="97"/>
      <c r="ATJ499" s="97"/>
      <c r="ATK499" s="97"/>
      <c r="ATL499" s="97"/>
      <c r="ATN499" s="94"/>
      <c r="ATO499" s="94"/>
      <c r="ATP499" s="95"/>
      <c r="ATQ499" s="96"/>
      <c r="ATR499" s="97"/>
      <c r="ATS499" s="97"/>
      <c r="ATT499" s="97"/>
      <c r="ATU499" s="97"/>
      <c r="ATV499" s="97"/>
      <c r="ATW499" s="97"/>
      <c r="ATX499" s="97"/>
      <c r="ATY499" s="97"/>
      <c r="AUA499" s="94"/>
      <c r="AUB499" s="94"/>
      <c r="AUC499" s="95"/>
      <c r="AUD499" s="96"/>
      <c r="AUE499" s="97"/>
      <c r="AUF499" s="97"/>
      <c r="AUG499" s="97"/>
      <c r="AUH499" s="97"/>
      <c r="AUI499" s="97"/>
      <c r="AUJ499" s="97"/>
      <c r="AUK499" s="97"/>
      <c r="AUL499" s="97"/>
      <c r="AUN499" s="94"/>
      <c r="AUO499" s="94"/>
      <c r="AUP499" s="95"/>
      <c r="AUQ499" s="96"/>
      <c r="AUR499" s="97"/>
      <c r="AUS499" s="97"/>
      <c r="AUT499" s="97"/>
      <c r="AUU499" s="97"/>
      <c r="AUV499" s="97"/>
      <c r="AUW499" s="97"/>
      <c r="AUX499" s="97"/>
      <c r="AUY499" s="97"/>
      <c r="AVA499" s="94"/>
      <c r="AVB499" s="94"/>
      <c r="AVC499" s="95"/>
      <c r="AVD499" s="96"/>
      <c r="AVE499" s="97"/>
      <c r="AVF499" s="97"/>
      <c r="AVG499" s="97"/>
      <c r="AVH499" s="97"/>
      <c r="AVI499" s="97"/>
      <c r="AVJ499" s="97"/>
      <c r="AVK499" s="97"/>
      <c r="AVL499" s="97"/>
      <c r="AVN499" s="94"/>
      <c r="AVO499" s="94"/>
      <c r="AVP499" s="95"/>
      <c r="AVQ499" s="96"/>
      <c r="AVR499" s="97"/>
      <c r="AVS499" s="97"/>
      <c r="AVT499" s="97"/>
      <c r="AVU499" s="97"/>
      <c r="AVV499" s="97"/>
      <c r="AVW499" s="97"/>
      <c r="AVX499" s="97"/>
      <c r="AVY499" s="97"/>
      <c r="AWA499" s="94"/>
      <c r="AWB499" s="94"/>
      <c r="AWC499" s="95"/>
      <c r="AWD499" s="96"/>
      <c r="AWE499" s="97"/>
      <c r="AWF499" s="97"/>
      <c r="AWG499" s="97"/>
      <c r="AWH499" s="97"/>
      <c r="AWI499" s="97"/>
      <c r="AWJ499" s="97"/>
      <c r="AWK499" s="97"/>
      <c r="AWL499" s="97"/>
      <c r="AWN499" s="94"/>
      <c r="AWO499" s="94"/>
      <c r="AWP499" s="95"/>
      <c r="AWQ499" s="96"/>
      <c r="AWR499" s="97"/>
      <c r="AWS499" s="97"/>
      <c r="AWT499" s="97"/>
      <c r="AWU499" s="97"/>
      <c r="AWV499" s="97"/>
      <c r="AWW499" s="97"/>
      <c r="AWX499" s="97"/>
      <c r="AWY499" s="97"/>
      <c r="AXA499" s="94"/>
      <c r="AXB499" s="94"/>
      <c r="AXC499" s="95"/>
      <c r="AXD499" s="96"/>
      <c r="AXE499" s="97"/>
      <c r="AXF499" s="97"/>
      <c r="AXG499" s="97"/>
      <c r="AXH499" s="97"/>
      <c r="AXI499" s="97"/>
      <c r="AXJ499" s="97"/>
      <c r="AXK499" s="97"/>
      <c r="AXL499" s="97"/>
      <c r="AXN499" s="94"/>
      <c r="AXO499" s="94"/>
      <c r="AXP499" s="95"/>
      <c r="AXQ499" s="96"/>
      <c r="AXR499" s="97"/>
      <c r="AXS499" s="97"/>
      <c r="AXT499" s="97"/>
      <c r="AXU499" s="97"/>
      <c r="AXV499" s="97"/>
      <c r="AXW499" s="97"/>
      <c r="AXX499" s="97"/>
      <c r="AXY499" s="97"/>
      <c r="AYA499" s="94"/>
      <c r="AYB499" s="94"/>
      <c r="AYC499" s="95"/>
      <c r="AYD499" s="96"/>
      <c r="AYE499" s="97"/>
      <c r="AYF499" s="97"/>
      <c r="AYG499" s="97"/>
      <c r="AYH499" s="97"/>
      <c r="AYI499" s="97"/>
      <c r="AYJ499" s="97"/>
      <c r="AYK499" s="97"/>
      <c r="AYL499" s="97"/>
      <c r="AYN499" s="94"/>
      <c r="AYO499" s="94"/>
      <c r="AYP499" s="95"/>
      <c r="AYQ499" s="96"/>
      <c r="AYR499" s="97"/>
      <c r="AYS499" s="97"/>
      <c r="AYT499" s="97"/>
      <c r="AYU499" s="97"/>
      <c r="AYV499" s="97"/>
      <c r="AYW499" s="97"/>
      <c r="AYX499" s="97"/>
      <c r="AYY499" s="97"/>
      <c r="AZA499" s="94"/>
      <c r="AZB499" s="94"/>
      <c r="AZC499" s="95"/>
      <c r="AZD499" s="96"/>
      <c r="AZE499" s="97"/>
      <c r="AZF499" s="97"/>
      <c r="AZG499" s="97"/>
      <c r="AZH499" s="97"/>
      <c r="AZI499" s="97"/>
      <c r="AZJ499" s="97"/>
      <c r="AZK499" s="97"/>
      <c r="AZL499" s="97"/>
      <c r="AZN499" s="94"/>
      <c r="AZO499" s="94"/>
      <c r="AZP499" s="95"/>
      <c r="AZQ499" s="96"/>
      <c r="AZR499" s="97"/>
      <c r="AZS499" s="97"/>
      <c r="AZT499" s="97"/>
      <c r="AZU499" s="97"/>
      <c r="AZV499" s="97"/>
      <c r="AZW499" s="97"/>
      <c r="AZX499" s="97"/>
      <c r="AZY499" s="97"/>
      <c r="BAA499" s="94"/>
      <c r="BAB499" s="94"/>
      <c r="BAC499" s="95"/>
      <c r="BAD499" s="96"/>
      <c r="BAE499" s="97"/>
      <c r="BAF499" s="97"/>
      <c r="BAG499" s="97"/>
      <c r="BAH499" s="97"/>
      <c r="BAI499" s="97"/>
      <c r="BAJ499" s="97"/>
      <c r="BAK499" s="97"/>
      <c r="BAL499" s="97"/>
      <c r="BAN499" s="94"/>
      <c r="BAO499" s="94"/>
      <c r="BAP499" s="95"/>
      <c r="BAQ499" s="96"/>
      <c r="BAR499" s="97"/>
      <c r="BAS499" s="97"/>
      <c r="BAT499" s="97"/>
      <c r="BAU499" s="97"/>
      <c r="BAV499" s="97"/>
      <c r="BAW499" s="97"/>
      <c r="BAX499" s="97"/>
      <c r="BAY499" s="97"/>
      <c r="BBA499" s="94"/>
      <c r="BBB499" s="94"/>
      <c r="BBC499" s="95"/>
      <c r="BBD499" s="96"/>
      <c r="BBE499" s="97"/>
      <c r="BBF499" s="97"/>
      <c r="BBG499" s="97"/>
      <c r="BBH499" s="97"/>
      <c r="BBI499" s="97"/>
      <c r="BBJ499" s="97"/>
      <c r="BBK499" s="97"/>
      <c r="BBL499" s="97"/>
      <c r="BBN499" s="94"/>
      <c r="BBO499" s="94"/>
      <c r="BBP499" s="95"/>
      <c r="BBQ499" s="96"/>
      <c r="BBR499" s="97"/>
      <c r="BBS499" s="97"/>
      <c r="BBT499" s="97"/>
      <c r="BBU499" s="97"/>
      <c r="BBV499" s="97"/>
      <c r="BBW499" s="97"/>
      <c r="BBX499" s="97"/>
      <c r="BBY499" s="97"/>
      <c r="BCA499" s="94"/>
      <c r="BCB499" s="94"/>
      <c r="BCC499" s="95"/>
      <c r="BCD499" s="96"/>
      <c r="BCE499" s="97"/>
      <c r="BCF499" s="97"/>
      <c r="BCG499" s="97"/>
      <c r="BCH499" s="97"/>
      <c r="BCI499" s="97"/>
      <c r="BCJ499" s="97"/>
      <c r="BCK499" s="97"/>
      <c r="BCL499" s="97"/>
      <c r="BCN499" s="94"/>
      <c r="BCO499" s="94"/>
      <c r="BCP499" s="95"/>
      <c r="BCQ499" s="96"/>
      <c r="BCR499" s="97"/>
      <c r="BCS499" s="97"/>
      <c r="BCT499" s="97"/>
      <c r="BCU499" s="97"/>
      <c r="BCV499" s="97"/>
      <c r="BCW499" s="97"/>
      <c r="BCX499" s="97"/>
      <c r="BCY499" s="97"/>
      <c r="BDA499" s="94"/>
      <c r="BDB499" s="94"/>
      <c r="BDC499" s="95"/>
      <c r="BDD499" s="96"/>
      <c r="BDE499" s="97"/>
      <c r="BDF499" s="97"/>
      <c r="BDG499" s="97"/>
      <c r="BDH499" s="97"/>
      <c r="BDI499" s="97"/>
      <c r="BDJ499" s="97"/>
      <c r="BDK499" s="97"/>
      <c r="BDL499" s="97"/>
      <c r="BDN499" s="94"/>
      <c r="BDO499" s="94"/>
      <c r="BDP499" s="95"/>
      <c r="BDQ499" s="96"/>
      <c r="BDR499" s="97"/>
      <c r="BDS499" s="97"/>
      <c r="BDT499" s="97"/>
      <c r="BDU499" s="97"/>
      <c r="BDV499" s="97"/>
      <c r="BDW499" s="97"/>
      <c r="BDX499" s="97"/>
      <c r="BDY499" s="97"/>
      <c r="BEA499" s="94"/>
      <c r="BEB499" s="94"/>
      <c r="BEC499" s="95"/>
      <c r="BED499" s="96"/>
      <c r="BEE499" s="97"/>
      <c r="BEF499" s="97"/>
      <c r="BEG499" s="97"/>
      <c r="BEH499" s="97"/>
      <c r="BEI499" s="97"/>
      <c r="BEJ499" s="97"/>
      <c r="BEK499" s="97"/>
      <c r="BEL499" s="97"/>
      <c r="BEN499" s="94"/>
      <c r="BEO499" s="94"/>
      <c r="BEP499" s="95"/>
      <c r="BEQ499" s="96"/>
      <c r="BER499" s="97"/>
      <c r="BES499" s="97"/>
      <c r="BET499" s="97"/>
      <c r="BEU499" s="97"/>
      <c r="BEV499" s="97"/>
      <c r="BEW499" s="97"/>
      <c r="BEX499" s="97"/>
      <c r="BEY499" s="97"/>
      <c r="BFA499" s="94"/>
      <c r="BFB499" s="94"/>
      <c r="BFC499" s="95"/>
      <c r="BFD499" s="96"/>
      <c r="BFE499" s="97"/>
      <c r="BFF499" s="97"/>
      <c r="BFG499" s="97"/>
      <c r="BFH499" s="97"/>
      <c r="BFI499" s="97"/>
      <c r="BFJ499" s="97"/>
      <c r="BFK499" s="97"/>
      <c r="BFL499" s="97"/>
      <c r="BFN499" s="94"/>
      <c r="BFO499" s="94"/>
      <c r="BFP499" s="95"/>
      <c r="BFQ499" s="96"/>
      <c r="BFR499" s="97"/>
      <c r="BFS499" s="97"/>
      <c r="BFT499" s="97"/>
      <c r="BFU499" s="97"/>
      <c r="BFV499" s="97"/>
      <c r="BFW499" s="97"/>
      <c r="BFX499" s="97"/>
      <c r="BFY499" s="97"/>
      <c r="BGA499" s="94"/>
      <c r="BGB499" s="94"/>
      <c r="BGC499" s="95"/>
      <c r="BGD499" s="96"/>
      <c r="BGE499" s="97"/>
      <c r="BGF499" s="97"/>
      <c r="BGG499" s="97"/>
      <c r="BGH499" s="97"/>
      <c r="BGI499" s="97"/>
      <c r="BGJ499" s="97"/>
      <c r="BGK499" s="97"/>
      <c r="BGL499" s="97"/>
      <c r="BGN499" s="94"/>
      <c r="BGO499" s="94"/>
      <c r="BGP499" s="95"/>
      <c r="BGQ499" s="96"/>
      <c r="BGR499" s="97"/>
      <c r="BGS499" s="97"/>
      <c r="BGT499" s="97"/>
      <c r="BGU499" s="97"/>
      <c r="BGV499" s="97"/>
      <c r="BGW499" s="97"/>
      <c r="BGX499" s="97"/>
      <c r="BGY499" s="97"/>
      <c r="BHA499" s="94"/>
      <c r="BHB499" s="94"/>
      <c r="BHC499" s="95"/>
      <c r="BHD499" s="96"/>
      <c r="BHE499" s="97"/>
      <c r="BHF499" s="97"/>
      <c r="BHG499" s="97"/>
      <c r="BHH499" s="97"/>
      <c r="BHI499" s="97"/>
      <c r="BHJ499" s="97"/>
      <c r="BHK499" s="97"/>
      <c r="BHL499" s="97"/>
      <c r="BHN499" s="94"/>
      <c r="BHO499" s="94"/>
      <c r="BHP499" s="95"/>
      <c r="BHQ499" s="96"/>
      <c r="BHR499" s="97"/>
      <c r="BHS499" s="97"/>
      <c r="BHT499" s="97"/>
      <c r="BHU499" s="97"/>
      <c r="BHV499" s="97"/>
      <c r="BHW499" s="97"/>
      <c r="BHX499" s="97"/>
      <c r="BHY499" s="97"/>
      <c r="BIA499" s="94"/>
      <c r="BIB499" s="94"/>
      <c r="BIC499" s="95"/>
      <c r="BID499" s="96"/>
      <c r="BIE499" s="97"/>
      <c r="BIF499" s="97"/>
      <c r="BIG499" s="97"/>
      <c r="BIH499" s="97"/>
      <c r="BII499" s="97"/>
      <c r="BIJ499" s="97"/>
      <c r="BIK499" s="97"/>
      <c r="BIL499" s="97"/>
      <c r="BIN499" s="94"/>
      <c r="BIO499" s="94"/>
      <c r="BIP499" s="95"/>
      <c r="BIQ499" s="96"/>
      <c r="BIR499" s="97"/>
      <c r="BIS499" s="97"/>
      <c r="BIT499" s="97"/>
      <c r="BIU499" s="97"/>
      <c r="BIV499" s="97"/>
      <c r="BIW499" s="97"/>
      <c r="BIX499" s="97"/>
      <c r="BIY499" s="97"/>
      <c r="BJA499" s="94"/>
      <c r="BJB499" s="94"/>
      <c r="BJC499" s="95"/>
      <c r="BJD499" s="96"/>
      <c r="BJE499" s="97"/>
      <c r="BJF499" s="97"/>
      <c r="BJG499" s="97"/>
      <c r="BJH499" s="97"/>
      <c r="BJI499" s="97"/>
      <c r="BJJ499" s="97"/>
      <c r="BJK499" s="97"/>
      <c r="BJL499" s="97"/>
      <c r="BJN499" s="94"/>
      <c r="BJO499" s="94"/>
      <c r="BJP499" s="95"/>
      <c r="BJQ499" s="96"/>
      <c r="BJR499" s="97"/>
      <c r="BJS499" s="97"/>
      <c r="BJT499" s="97"/>
      <c r="BJU499" s="97"/>
      <c r="BJV499" s="97"/>
      <c r="BJW499" s="97"/>
      <c r="BJX499" s="97"/>
      <c r="BJY499" s="97"/>
      <c r="BKA499" s="94"/>
      <c r="BKB499" s="94"/>
      <c r="BKC499" s="95"/>
      <c r="BKD499" s="96"/>
      <c r="BKE499" s="97"/>
      <c r="BKF499" s="97"/>
      <c r="BKG499" s="97"/>
      <c r="BKH499" s="97"/>
      <c r="BKI499" s="97"/>
      <c r="BKJ499" s="97"/>
      <c r="BKK499" s="97"/>
      <c r="BKL499" s="97"/>
      <c r="BKN499" s="94"/>
      <c r="BKO499" s="94"/>
      <c r="BKP499" s="95"/>
      <c r="BKQ499" s="96"/>
      <c r="BKR499" s="97"/>
      <c r="BKS499" s="97"/>
      <c r="BKT499" s="97"/>
      <c r="BKU499" s="97"/>
      <c r="BKV499" s="97"/>
      <c r="BKW499" s="97"/>
      <c r="BKX499" s="97"/>
      <c r="BKY499" s="97"/>
      <c r="BLA499" s="94"/>
      <c r="BLB499" s="94"/>
      <c r="BLC499" s="95"/>
      <c r="BLD499" s="96"/>
      <c r="BLE499" s="97"/>
      <c r="BLF499" s="97"/>
      <c r="BLG499" s="97"/>
      <c r="BLH499" s="97"/>
      <c r="BLI499" s="97"/>
      <c r="BLJ499" s="97"/>
      <c r="BLK499" s="97"/>
      <c r="BLL499" s="97"/>
      <c r="BLN499" s="94"/>
      <c r="BLO499" s="94"/>
      <c r="BLP499" s="95"/>
      <c r="BLQ499" s="96"/>
      <c r="BLR499" s="97"/>
      <c r="BLS499" s="97"/>
      <c r="BLT499" s="97"/>
      <c r="BLU499" s="97"/>
      <c r="BLV499" s="97"/>
      <c r="BLW499" s="97"/>
      <c r="BLX499" s="97"/>
      <c r="BLY499" s="97"/>
      <c r="BMA499" s="94"/>
      <c r="BMB499" s="94"/>
      <c r="BMC499" s="95"/>
      <c r="BMD499" s="96"/>
      <c r="BME499" s="97"/>
      <c r="BMF499" s="97"/>
      <c r="BMG499" s="97"/>
      <c r="BMH499" s="97"/>
      <c r="BMI499" s="97"/>
      <c r="BMJ499" s="97"/>
      <c r="BMK499" s="97"/>
      <c r="BML499" s="97"/>
      <c r="BMN499" s="94"/>
      <c r="BMO499" s="94"/>
      <c r="BMP499" s="95"/>
      <c r="BMQ499" s="96"/>
      <c r="BMR499" s="97"/>
      <c r="BMS499" s="97"/>
      <c r="BMT499" s="97"/>
      <c r="BMU499" s="97"/>
      <c r="BMV499" s="97"/>
      <c r="BMW499" s="97"/>
      <c r="BMX499" s="97"/>
      <c r="BMY499" s="97"/>
      <c r="BNA499" s="94"/>
      <c r="BNB499" s="94"/>
      <c r="BNC499" s="95"/>
      <c r="BND499" s="96"/>
      <c r="BNE499" s="97"/>
      <c r="BNF499" s="97"/>
      <c r="BNG499" s="97"/>
      <c r="BNH499" s="97"/>
      <c r="BNI499" s="97"/>
      <c r="BNJ499" s="97"/>
      <c r="BNK499" s="97"/>
      <c r="BNL499" s="97"/>
      <c r="BNN499" s="94"/>
      <c r="BNO499" s="94"/>
      <c r="BNP499" s="95"/>
      <c r="BNQ499" s="96"/>
      <c r="BNR499" s="97"/>
      <c r="BNS499" s="97"/>
      <c r="BNT499" s="97"/>
      <c r="BNU499" s="97"/>
      <c r="BNV499" s="97"/>
      <c r="BNW499" s="97"/>
      <c r="BNX499" s="97"/>
      <c r="BNY499" s="97"/>
      <c r="BOA499" s="94"/>
      <c r="BOB499" s="94"/>
      <c r="BOC499" s="95"/>
      <c r="BOD499" s="96"/>
      <c r="BOE499" s="97"/>
      <c r="BOF499" s="97"/>
      <c r="BOG499" s="97"/>
      <c r="BOH499" s="97"/>
      <c r="BOI499" s="97"/>
      <c r="BOJ499" s="97"/>
      <c r="BOK499" s="97"/>
      <c r="BOL499" s="97"/>
      <c r="BON499" s="94"/>
      <c r="BOO499" s="94"/>
      <c r="BOP499" s="95"/>
      <c r="BOQ499" s="96"/>
      <c r="BOR499" s="97"/>
      <c r="BOS499" s="97"/>
      <c r="BOT499" s="97"/>
      <c r="BOU499" s="97"/>
      <c r="BOV499" s="97"/>
      <c r="BOW499" s="97"/>
      <c r="BOX499" s="97"/>
      <c r="BOY499" s="97"/>
      <c r="BPA499" s="94"/>
      <c r="BPB499" s="94"/>
      <c r="BPC499" s="95"/>
      <c r="BPD499" s="96"/>
      <c r="BPE499" s="97"/>
      <c r="BPF499" s="97"/>
      <c r="BPG499" s="97"/>
      <c r="BPH499" s="97"/>
      <c r="BPI499" s="97"/>
      <c r="BPJ499" s="97"/>
      <c r="BPK499" s="97"/>
      <c r="BPL499" s="97"/>
      <c r="BPN499" s="94"/>
      <c r="BPO499" s="94"/>
      <c r="BPP499" s="95"/>
      <c r="BPQ499" s="96"/>
      <c r="BPR499" s="97"/>
      <c r="BPS499" s="97"/>
      <c r="BPT499" s="97"/>
      <c r="BPU499" s="97"/>
      <c r="BPV499" s="97"/>
      <c r="BPW499" s="97"/>
      <c r="BPX499" s="97"/>
      <c r="BPY499" s="97"/>
      <c r="BQA499" s="94"/>
      <c r="BQB499" s="94"/>
      <c r="BQC499" s="95"/>
      <c r="BQD499" s="96"/>
      <c r="BQE499" s="97"/>
      <c r="BQF499" s="97"/>
      <c r="BQG499" s="97"/>
      <c r="BQH499" s="97"/>
      <c r="BQI499" s="97"/>
      <c r="BQJ499" s="97"/>
      <c r="BQK499" s="97"/>
      <c r="BQL499" s="97"/>
      <c r="BQN499" s="94"/>
      <c r="BQO499" s="94"/>
      <c r="BQP499" s="95"/>
      <c r="BQQ499" s="96"/>
      <c r="BQR499" s="97"/>
      <c r="BQS499" s="97"/>
      <c r="BQT499" s="97"/>
      <c r="BQU499" s="97"/>
      <c r="BQV499" s="97"/>
      <c r="BQW499" s="97"/>
      <c r="BQX499" s="97"/>
      <c r="BQY499" s="97"/>
      <c r="BRA499" s="94"/>
      <c r="BRB499" s="94"/>
      <c r="BRC499" s="95"/>
      <c r="BRD499" s="96"/>
      <c r="BRE499" s="97"/>
      <c r="BRF499" s="97"/>
      <c r="BRG499" s="97"/>
      <c r="BRH499" s="97"/>
      <c r="BRI499" s="97"/>
      <c r="BRJ499" s="97"/>
      <c r="BRK499" s="97"/>
      <c r="BRL499" s="97"/>
      <c r="BRN499" s="94"/>
      <c r="BRO499" s="94"/>
      <c r="BRP499" s="95"/>
      <c r="BRQ499" s="96"/>
      <c r="BRR499" s="97"/>
      <c r="BRS499" s="97"/>
      <c r="BRT499" s="97"/>
      <c r="BRU499" s="97"/>
      <c r="BRV499" s="97"/>
      <c r="BRW499" s="97"/>
      <c r="BRX499" s="97"/>
      <c r="BRY499" s="97"/>
      <c r="BSA499" s="94"/>
      <c r="BSB499" s="94"/>
      <c r="BSC499" s="95"/>
      <c r="BSD499" s="96"/>
      <c r="BSE499" s="97"/>
      <c r="BSF499" s="97"/>
      <c r="BSG499" s="97"/>
      <c r="BSH499" s="97"/>
      <c r="BSI499" s="97"/>
      <c r="BSJ499" s="97"/>
      <c r="BSK499" s="97"/>
      <c r="BSL499" s="97"/>
      <c r="BSN499" s="94"/>
      <c r="BSO499" s="94"/>
      <c r="BSP499" s="95"/>
      <c r="BSQ499" s="96"/>
      <c r="BSR499" s="97"/>
      <c r="BSS499" s="97"/>
      <c r="BST499" s="97"/>
      <c r="BSU499" s="97"/>
      <c r="BSV499" s="97"/>
      <c r="BSW499" s="97"/>
      <c r="BSX499" s="97"/>
      <c r="BSY499" s="97"/>
      <c r="BTA499" s="94"/>
      <c r="BTB499" s="94"/>
      <c r="BTC499" s="95"/>
      <c r="BTD499" s="96"/>
      <c r="BTE499" s="97"/>
      <c r="BTF499" s="97"/>
      <c r="BTG499" s="97"/>
      <c r="BTH499" s="97"/>
      <c r="BTI499" s="97"/>
      <c r="BTJ499" s="97"/>
      <c r="BTK499" s="97"/>
      <c r="BTL499" s="97"/>
      <c r="BTN499" s="94"/>
      <c r="BTO499" s="94"/>
      <c r="BTP499" s="95"/>
      <c r="BTQ499" s="96"/>
      <c r="BTR499" s="97"/>
      <c r="BTS499" s="97"/>
      <c r="BTT499" s="97"/>
      <c r="BTU499" s="97"/>
      <c r="BTV499" s="97"/>
      <c r="BTW499" s="97"/>
      <c r="BTX499" s="97"/>
      <c r="BTY499" s="97"/>
      <c r="BUA499" s="94"/>
      <c r="BUB499" s="94"/>
      <c r="BUC499" s="95"/>
      <c r="BUD499" s="96"/>
      <c r="BUE499" s="97"/>
      <c r="BUF499" s="97"/>
      <c r="BUG499" s="97"/>
      <c r="BUH499" s="97"/>
      <c r="BUI499" s="97"/>
      <c r="BUJ499" s="97"/>
      <c r="BUK499" s="97"/>
      <c r="BUL499" s="97"/>
      <c r="BUN499" s="94"/>
      <c r="BUO499" s="94"/>
      <c r="BUP499" s="95"/>
      <c r="BUQ499" s="96"/>
      <c r="BUR499" s="97"/>
      <c r="BUS499" s="97"/>
      <c r="BUT499" s="97"/>
      <c r="BUU499" s="97"/>
      <c r="BUV499" s="97"/>
      <c r="BUW499" s="97"/>
      <c r="BUX499" s="97"/>
      <c r="BUY499" s="97"/>
      <c r="BVA499" s="94"/>
      <c r="BVB499" s="94"/>
      <c r="BVC499" s="95"/>
      <c r="BVD499" s="96"/>
      <c r="BVE499" s="97"/>
      <c r="BVF499" s="97"/>
      <c r="BVG499" s="97"/>
      <c r="BVH499" s="97"/>
      <c r="BVI499" s="97"/>
      <c r="BVJ499" s="97"/>
      <c r="BVK499" s="97"/>
      <c r="BVL499" s="97"/>
      <c r="BVN499" s="94"/>
      <c r="BVO499" s="94"/>
      <c r="BVP499" s="95"/>
      <c r="BVQ499" s="96"/>
      <c r="BVR499" s="97"/>
      <c r="BVS499" s="97"/>
      <c r="BVT499" s="97"/>
      <c r="BVU499" s="97"/>
      <c r="BVV499" s="97"/>
      <c r="BVW499" s="97"/>
      <c r="BVX499" s="97"/>
      <c r="BVY499" s="97"/>
      <c r="BWA499" s="94"/>
      <c r="BWB499" s="94"/>
      <c r="BWC499" s="95"/>
      <c r="BWD499" s="96"/>
      <c r="BWE499" s="97"/>
      <c r="BWF499" s="97"/>
      <c r="BWG499" s="97"/>
      <c r="BWH499" s="97"/>
      <c r="BWI499" s="97"/>
      <c r="BWJ499" s="97"/>
      <c r="BWK499" s="97"/>
      <c r="BWL499" s="97"/>
      <c r="BWN499" s="94"/>
      <c r="BWO499" s="94"/>
      <c r="BWP499" s="95"/>
      <c r="BWQ499" s="96"/>
      <c r="BWR499" s="97"/>
      <c r="BWS499" s="97"/>
      <c r="BWT499" s="97"/>
      <c r="BWU499" s="97"/>
      <c r="BWV499" s="97"/>
      <c r="BWW499" s="97"/>
      <c r="BWX499" s="97"/>
      <c r="BWY499" s="97"/>
      <c r="BXA499" s="94"/>
      <c r="BXB499" s="94"/>
      <c r="BXC499" s="95"/>
      <c r="BXD499" s="96"/>
      <c r="BXE499" s="97"/>
      <c r="BXF499" s="97"/>
      <c r="BXG499" s="97"/>
      <c r="BXH499" s="97"/>
      <c r="BXI499" s="97"/>
      <c r="BXJ499" s="97"/>
      <c r="BXK499" s="97"/>
      <c r="BXL499" s="97"/>
      <c r="BXN499" s="94"/>
      <c r="BXO499" s="94"/>
      <c r="BXP499" s="95"/>
      <c r="BXQ499" s="96"/>
      <c r="BXR499" s="97"/>
      <c r="BXS499" s="97"/>
      <c r="BXT499" s="97"/>
      <c r="BXU499" s="97"/>
      <c r="BXV499" s="97"/>
      <c r="BXW499" s="97"/>
      <c r="BXX499" s="97"/>
      <c r="BXY499" s="97"/>
      <c r="BYA499" s="94"/>
      <c r="BYB499" s="94"/>
      <c r="BYC499" s="95"/>
      <c r="BYD499" s="96"/>
      <c r="BYE499" s="97"/>
      <c r="BYF499" s="97"/>
      <c r="BYG499" s="97"/>
      <c r="BYH499" s="97"/>
      <c r="BYI499" s="97"/>
      <c r="BYJ499" s="97"/>
      <c r="BYK499" s="97"/>
      <c r="BYL499" s="97"/>
      <c r="BYN499" s="94"/>
      <c r="BYO499" s="94"/>
      <c r="BYP499" s="95"/>
      <c r="BYQ499" s="96"/>
      <c r="BYR499" s="97"/>
      <c r="BYS499" s="97"/>
      <c r="BYT499" s="97"/>
      <c r="BYU499" s="97"/>
      <c r="BYV499" s="97"/>
      <c r="BYW499" s="97"/>
      <c r="BYX499" s="97"/>
      <c r="BYY499" s="97"/>
      <c r="BZA499" s="94"/>
      <c r="BZB499" s="94"/>
      <c r="BZC499" s="95"/>
      <c r="BZD499" s="96"/>
      <c r="BZE499" s="97"/>
      <c r="BZF499" s="97"/>
      <c r="BZG499" s="97"/>
      <c r="BZH499" s="97"/>
      <c r="BZI499" s="97"/>
      <c r="BZJ499" s="97"/>
      <c r="BZK499" s="97"/>
      <c r="BZL499" s="97"/>
      <c r="BZN499" s="94"/>
      <c r="BZO499" s="94"/>
      <c r="BZP499" s="95"/>
      <c r="BZQ499" s="96"/>
      <c r="BZR499" s="97"/>
      <c r="BZS499" s="97"/>
      <c r="BZT499" s="97"/>
      <c r="BZU499" s="97"/>
      <c r="BZV499" s="97"/>
      <c r="BZW499" s="97"/>
      <c r="BZX499" s="97"/>
      <c r="BZY499" s="97"/>
      <c r="CAA499" s="94"/>
      <c r="CAB499" s="94"/>
      <c r="CAC499" s="95"/>
      <c r="CAD499" s="96"/>
      <c r="CAE499" s="97"/>
      <c r="CAF499" s="97"/>
      <c r="CAG499" s="97"/>
      <c r="CAH499" s="97"/>
      <c r="CAI499" s="97"/>
      <c r="CAJ499" s="97"/>
      <c r="CAK499" s="97"/>
      <c r="CAL499" s="97"/>
      <c r="CAN499" s="94"/>
      <c r="CAO499" s="94"/>
      <c r="CAP499" s="95"/>
      <c r="CAQ499" s="96"/>
      <c r="CAR499" s="97"/>
      <c r="CAS499" s="97"/>
      <c r="CAT499" s="97"/>
      <c r="CAU499" s="97"/>
      <c r="CAV499" s="97"/>
      <c r="CAW499" s="97"/>
      <c r="CAX499" s="97"/>
      <c r="CAY499" s="97"/>
      <c r="CBA499" s="94"/>
      <c r="CBB499" s="94"/>
      <c r="CBC499" s="95"/>
      <c r="CBD499" s="96"/>
      <c r="CBE499" s="97"/>
      <c r="CBF499" s="97"/>
      <c r="CBG499" s="97"/>
      <c r="CBH499" s="97"/>
      <c r="CBI499" s="97"/>
      <c r="CBJ499" s="97"/>
      <c r="CBK499" s="97"/>
      <c r="CBL499" s="97"/>
      <c r="CBN499" s="94"/>
      <c r="CBO499" s="94"/>
      <c r="CBP499" s="95"/>
      <c r="CBQ499" s="96"/>
      <c r="CBR499" s="97"/>
      <c r="CBS499" s="97"/>
      <c r="CBT499" s="97"/>
      <c r="CBU499" s="97"/>
      <c r="CBV499" s="97"/>
      <c r="CBW499" s="97"/>
      <c r="CBX499" s="97"/>
      <c r="CBY499" s="97"/>
      <c r="CCA499" s="94"/>
      <c r="CCB499" s="94"/>
      <c r="CCC499" s="95"/>
      <c r="CCD499" s="96"/>
      <c r="CCE499" s="97"/>
      <c r="CCF499" s="97"/>
      <c r="CCG499" s="97"/>
      <c r="CCH499" s="97"/>
      <c r="CCI499" s="97"/>
      <c r="CCJ499" s="97"/>
      <c r="CCK499" s="97"/>
      <c r="CCL499" s="97"/>
      <c r="CCN499" s="94"/>
      <c r="CCO499" s="94"/>
      <c r="CCP499" s="95"/>
      <c r="CCQ499" s="96"/>
      <c r="CCR499" s="97"/>
      <c r="CCS499" s="97"/>
      <c r="CCT499" s="97"/>
      <c r="CCU499" s="97"/>
      <c r="CCV499" s="97"/>
      <c r="CCW499" s="97"/>
      <c r="CCX499" s="97"/>
      <c r="CCY499" s="97"/>
      <c r="CDA499" s="94"/>
      <c r="CDB499" s="94"/>
      <c r="CDC499" s="95"/>
      <c r="CDD499" s="96"/>
      <c r="CDE499" s="97"/>
      <c r="CDF499" s="97"/>
      <c r="CDG499" s="97"/>
      <c r="CDH499" s="97"/>
      <c r="CDI499" s="97"/>
      <c r="CDJ499" s="97"/>
      <c r="CDK499" s="97"/>
      <c r="CDL499" s="97"/>
      <c r="CDN499" s="94"/>
      <c r="CDO499" s="94"/>
      <c r="CDP499" s="95"/>
      <c r="CDQ499" s="96"/>
      <c r="CDR499" s="97"/>
      <c r="CDS499" s="97"/>
      <c r="CDT499" s="97"/>
      <c r="CDU499" s="97"/>
      <c r="CDV499" s="97"/>
      <c r="CDW499" s="97"/>
      <c r="CDX499" s="97"/>
      <c r="CDY499" s="97"/>
      <c r="CEA499" s="94"/>
      <c r="CEB499" s="94"/>
      <c r="CEC499" s="95"/>
      <c r="CED499" s="96"/>
      <c r="CEE499" s="97"/>
      <c r="CEF499" s="97"/>
      <c r="CEG499" s="97"/>
      <c r="CEH499" s="97"/>
      <c r="CEI499" s="97"/>
      <c r="CEJ499" s="97"/>
      <c r="CEK499" s="97"/>
      <c r="CEL499" s="97"/>
      <c r="CEN499" s="94"/>
      <c r="CEO499" s="94"/>
      <c r="CEP499" s="95"/>
      <c r="CEQ499" s="96"/>
      <c r="CER499" s="97"/>
      <c r="CES499" s="97"/>
      <c r="CET499" s="97"/>
      <c r="CEU499" s="97"/>
      <c r="CEV499" s="97"/>
      <c r="CEW499" s="97"/>
      <c r="CEX499" s="97"/>
      <c r="CEY499" s="97"/>
      <c r="CFA499" s="94"/>
      <c r="CFB499" s="94"/>
      <c r="CFC499" s="95"/>
      <c r="CFD499" s="96"/>
      <c r="CFE499" s="97"/>
      <c r="CFF499" s="97"/>
      <c r="CFG499" s="97"/>
      <c r="CFH499" s="97"/>
      <c r="CFI499" s="97"/>
      <c r="CFJ499" s="97"/>
      <c r="CFK499" s="97"/>
      <c r="CFL499" s="97"/>
      <c r="CFN499" s="94"/>
      <c r="CFO499" s="94"/>
      <c r="CFP499" s="95"/>
      <c r="CFQ499" s="96"/>
      <c r="CFR499" s="97"/>
      <c r="CFS499" s="97"/>
      <c r="CFT499" s="97"/>
      <c r="CFU499" s="97"/>
      <c r="CFV499" s="97"/>
      <c r="CFW499" s="97"/>
      <c r="CFX499" s="97"/>
      <c r="CFY499" s="97"/>
      <c r="CGA499" s="94"/>
      <c r="CGB499" s="94"/>
      <c r="CGC499" s="95"/>
      <c r="CGD499" s="96"/>
      <c r="CGE499" s="97"/>
      <c r="CGF499" s="97"/>
      <c r="CGG499" s="97"/>
      <c r="CGH499" s="97"/>
      <c r="CGI499" s="97"/>
      <c r="CGJ499" s="97"/>
      <c r="CGK499" s="97"/>
      <c r="CGL499" s="97"/>
      <c r="CGN499" s="94"/>
      <c r="CGO499" s="94"/>
      <c r="CGP499" s="95"/>
      <c r="CGQ499" s="96"/>
      <c r="CGR499" s="97"/>
      <c r="CGS499" s="97"/>
      <c r="CGT499" s="97"/>
      <c r="CGU499" s="97"/>
      <c r="CGV499" s="97"/>
      <c r="CGW499" s="97"/>
      <c r="CGX499" s="97"/>
      <c r="CGY499" s="97"/>
      <c r="CHA499" s="94"/>
      <c r="CHB499" s="94"/>
      <c r="CHC499" s="95"/>
      <c r="CHD499" s="96"/>
      <c r="CHE499" s="97"/>
      <c r="CHF499" s="97"/>
      <c r="CHG499" s="97"/>
      <c r="CHH499" s="97"/>
      <c r="CHI499" s="97"/>
      <c r="CHJ499" s="97"/>
      <c r="CHK499" s="97"/>
      <c r="CHL499" s="97"/>
      <c r="CHN499" s="94"/>
      <c r="CHO499" s="94"/>
      <c r="CHP499" s="95"/>
      <c r="CHQ499" s="96"/>
      <c r="CHR499" s="97"/>
      <c r="CHS499" s="97"/>
      <c r="CHT499" s="97"/>
      <c r="CHU499" s="97"/>
      <c r="CHV499" s="97"/>
      <c r="CHW499" s="97"/>
      <c r="CHX499" s="97"/>
      <c r="CHY499" s="97"/>
      <c r="CIA499" s="94"/>
      <c r="CIB499" s="94"/>
      <c r="CIC499" s="95"/>
      <c r="CID499" s="96"/>
      <c r="CIE499" s="97"/>
      <c r="CIF499" s="97"/>
      <c r="CIG499" s="97"/>
      <c r="CIH499" s="97"/>
      <c r="CII499" s="97"/>
      <c r="CIJ499" s="97"/>
      <c r="CIK499" s="97"/>
      <c r="CIL499" s="97"/>
      <c r="CIN499" s="94"/>
      <c r="CIO499" s="94"/>
      <c r="CIP499" s="95"/>
      <c r="CIQ499" s="96"/>
      <c r="CIR499" s="97"/>
      <c r="CIS499" s="97"/>
      <c r="CIT499" s="97"/>
      <c r="CIU499" s="97"/>
      <c r="CIV499" s="97"/>
      <c r="CIW499" s="97"/>
      <c r="CIX499" s="97"/>
      <c r="CIY499" s="97"/>
      <c r="CJA499" s="94"/>
      <c r="CJB499" s="94"/>
      <c r="CJC499" s="95"/>
      <c r="CJD499" s="96"/>
      <c r="CJE499" s="97"/>
      <c r="CJF499" s="97"/>
      <c r="CJG499" s="97"/>
      <c r="CJH499" s="97"/>
      <c r="CJI499" s="97"/>
      <c r="CJJ499" s="97"/>
      <c r="CJK499" s="97"/>
      <c r="CJL499" s="97"/>
      <c r="CJN499" s="94"/>
      <c r="CJO499" s="94"/>
      <c r="CJP499" s="95"/>
      <c r="CJQ499" s="96"/>
      <c r="CJR499" s="97"/>
      <c r="CJS499" s="97"/>
      <c r="CJT499" s="97"/>
      <c r="CJU499" s="97"/>
      <c r="CJV499" s="97"/>
      <c r="CJW499" s="97"/>
      <c r="CJX499" s="97"/>
      <c r="CJY499" s="97"/>
      <c r="CKA499" s="94"/>
      <c r="CKB499" s="94"/>
      <c r="CKC499" s="95"/>
      <c r="CKD499" s="96"/>
      <c r="CKE499" s="97"/>
      <c r="CKF499" s="97"/>
      <c r="CKG499" s="97"/>
      <c r="CKH499" s="97"/>
      <c r="CKI499" s="97"/>
      <c r="CKJ499" s="97"/>
      <c r="CKK499" s="97"/>
      <c r="CKL499" s="97"/>
      <c r="CKN499" s="94"/>
      <c r="CKO499" s="94"/>
      <c r="CKP499" s="95"/>
      <c r="CKQ499" s="96"/>
      <c r="CKR499" s="97"/>
      <c r="CKS499" s="97"/>
      <c r="CKT499" s="97"/>
      <c r="CKU499" s="97"/>
      <c r="CKV499" s="97"/>
      <c r="CKW499" s="97"/>
      <c r="CKX499" s="97"/>
      <c r="CKY499" s="97"/>
      <c r="CLA499" s="94"/>
      <c r="CLB499" s="94"/>
      <c r="CLC499" s="95"/>
      <c r="CLD499" s="96"/>
      <c r="CLE499" s="97"/>
      <c r="CLF499" s="97"/>
      <c r="CLG499" s="97"/>
      <c r="CLH499" s="97"/>
      <c r="CLI499" s="97"/>
      <c r="CLJ499" s="97"/>
      <c r="CLK499" s="97"/>
      <c r="CLL499" s="97"/>
      <c r="CLN499" s="94"/>
      <c r="CLO499" s="94"/>
      <c r="CLP499" s="95"/>
      <c r="CLQ499" s="96"/>
      <c r="CLR499" s="97"/>
      <c r="CLS499" s="97"/>
      <c r="CLT499" s="97"/>
      <c r="CLU499" s="97"/>
      <c r="CLV499" s="97"/>
      <c r="CLW499" s="97"/>
      <c r="CLX499" s="97"/>
      <c r="CLY499" s="97"/>
      <c r="CMA499" s="94"/>
      <c r="CMB499" s="94"/>
      <c r="CMC499" s="95"/>
      <c r="CMD499" s="96"/>
      <c r="CME499" s="97"/>
      <c r="CMF499" s="97"/>
      <c r="CMG499" s="97"/>
      <c r="CMH499" s="97"/>
      <c r="CMI499" s="97"/>
      <c r="CMJ499" s="97"/>
      <c r="CMK499" s="97"/>
      <c r="CML499" s="97"/>
      <c r="CMN499" s="94"/>
      <c r="CMO499" s="94"/>
      <c r="CMP499" s="95"/>
      <c r="CMQ499" s="96"/>
      <c r="CMR499" s="97"/>
      <c r="CMS499" s="97"/>
      <c r="CMT499" s="97"/>
      <c r="CMU499" s="97"/>
      <c r="CMV499" s="97"/>
      <c r="CMW499" s="97"/>
      <c r="CMX499" s="97"/>
      <c r="CMY499" s="97"/>
      <c r="CNA499" s="94"/>
      <c r="CNB499" s="94"/>
      <c r="CNC499" s="95"/>
      <c r="CND499" s="96"/>
      <c r="CNE499" s="97"/>
      <c r="CNF499" s="97"/>
      <c r="CNG499" s="97"/>
      <c r="CNH499" s="97"/>
      <c r="CNI499" s="97"/>
      <c r="CNJ499" s="97"/>
      <c r="CNK499" s="97"/>
      <c r="CNL499" s="97"/>
      <c r="CNN499" s="94"/>
      <c r="CNO499" s="94"/>
      <c r="CNP499" s="95"/>
      <c r="CNQ499" s="96"/>
      <c r="CNR499" s="97"/>
      <c r="CNS499" s="97"/>
      <c r="CNT499" s="97"/>
      <c r="CNU499" s="97"/>
      <c r="CNV499" s="97"/>
      <c r="CNW499" s="97"/>
      <c r="CNX499" s="97"/>
      <c r="CNY499" s="97"/>
      <c r="COA499" s="94"/>
      <c r="COB499" s="94"/>
      <c r="COC499" s="95"/>
      <c r="COD499" s="96"/>
      <c r="COE499" s="97"/>
      <c r="COF499" s="97"/>
      <c r="COG499" s="97"/>
      <c r="COH499" s="97"/>
      <c r="COI499" s="97"/>
      <c r="COJ499" s="97"/>
      <c r="COK499" s="97"/>
      <c r="COL499" s="97"/>
      <c r="CON499" s="94"/>
      <c r="COO499" s="94"/>
      <c r="COP499" s="95"/>
      <c r="COQ499" s="96"/>
      <c r="COR499" s="97"/>
      <c r="COS499" s="97"/>
      <c r="COT499" s="97"/>
      <c r="COU499" s="97"/>
      <c r="COV499" s="97"/>
      <c r="COW499" s="97"/>
      <c r="COX499" s="97"/>
      <c r="COY499" s="97"/>
      <c r="CPA499" s="94"/>
      <c r="CPB499" s="94"/>
      <c r="CPC499" s="95"/>
      <c r="CPD499" s="96"/>
      <c r="CPE499" s="97"/>
      <c r="CPF499" s="97"/>
      <c r="CPG499" s="97"/>
      <c r="CPH499" s="97"/>
      <c r="CPI499" s="97"/>
      <c r="CPJ499" s="97"/>
      <c r="CPK499" s="97"/>
      <c r="CPL499" s="97"/>
      <c r="CPN499" s="94"/>
      <c r="CPO499" s="94"/>
      <c r="CPP499" s="95"/>
      <c r="CPQ499" s="96"/>
      <c r="CPR499" s="97"/>
      <c r="CPS499" s="97"/>
      <c r="CPT499" s="97"/>
      <c r="CPU499" s="97"/>
      <c r="CPV499" s="97"/>
      <c r="CPW499" s="97"/>
      <c r="CPX499" s="97"/>
      <c r="CPY499" s="97"/>
      <c r="CQA499" s="94"/>
      <c r="CQB499" s="94"/>
      <c r="CQC499" s="95"/>
      <c r="CQD499" s="96"/>
      <c r="CQE499" s="97"/>
      <c r="CQF499" s="97"/>
      <c r="CQG499" s="97"/>
      <c r="CQH499" s="97"/>
      <c r="CQI499" s="97"/>
      <c r="CQJ499" s="97"/>
      <c r="CQK499" s="97"/>
      <c r="CQL499" s="97"/>
      <c r="CQN499" s="94"/>
      <c r="CQO499" s="94"/>
      <c r="CQP499" s="95"/>
      <c r="CQQ499" s="96"/>
      <c r="CQR499" s="97"/>
      <c r="CQS499" s="97"/>
      <c r="CQT499" s="97"/>
      <c r="CQU499" s="97"/>
      <c r="CQV499" s="97"/>
      <c r="CQW499" s="97"/>
      <c r="CQX499" s="97"/>
      <c r="CQY499" s="97"/>
      <c r="CRA499" s="94"/>
      <c r="CRB499" s="94"/>
      <c r="CRC499" s="95"/>
      <c r="CRD499" s="96"/>
      <c r="CRE499" s="97"/>
      <c r="CRF499" s="97"/>
      <c r="CRG499" s="97"/>
      <c r="CRH499" s="97"/>
      <c r="CRI499" s="97"/>
      <c r="CRJ499" s="97"/>
      <c r="CRK499" s="97"/>
      <c r="CRL499" s="97"/>
      <c r="CRN499" s="94"/>
      <c r="CRO499" s="94"/>
      <c r="CRP499" s="95"/>
      <c r="CRQ499" s="96"/>
      <c r="CRR499" s="97"/>
      <c r="CRS499" s="97"/>
      <c r="CRT499" s="97"/>
      <c r="CRU499" s="97"/>
      <c r="CRV499" s="97"/>
      <c r="CRW499" s="97"/>
      <c r="CRX499" s="97"/>
      <c r="CRY499" s="97"/>
      <c r="CSA499" s="94"/>
      <c r="CSB499" s="94"/>
      <c r="CSC499" s="95"/>
      <c r="CSD499" s="96"/>
      <c r="CSE499" s="97"/>
      <c r="CSF499" s="97"/>
      <c r="CSG499" s="97"/>
      <c r="CSH499" s="97"/>
      <c r="CSI499" s="97"/>
      <c r="CSJ499" s="97"/>
      <c r="CSK499" s="97"/>
      <c r="CSL499" s="97"/>
      <c r="CSN499" s="94"/>
      <c r="CSO499" s="94"/>
      <c r="CSP499" s="95"/>
      <c r="CSQ499" s="96"/>
      <c r="CSR499" s="97"/>
      <c r="CSS499" s="97"/>
      <c r="CST499" s="97"/>
      <c r="CSU499" s="97"/>
      <c r="CSV499" s="97"/>
      <c r="CSW499" s="97"/>
      <c r="CSX499" s="97"/>
      <c r="CSY499" s="97"/>
      <c r="CTA499" s="94"/>
      <c r="CTB499" s="94"/>
      <c r="CTC499" s="95"/>
      <c r="CTD499" s="96"/>
      <c r="CTE499" s="97"/>
      <c r="CTF499" s="97"/>
      <c r="CTG499" s="97"/>
      <c r="CTH499" s="97"/>
      <c r="CTI499" s="97"/>
      <c r="CTJ499" s="97"/>
      <c r="CTK499" s="97"/>
      <c r="CTL499" s="97"/>
      <c r="CTN499" s="94"/>
      <c r="CTO499" s="94"/>
      <c r="CTP499" s="95"/>
      <c r="CTQ499" s="96"/>
      <c r="CTR499" s="97"/>
      <c r="CTS499" s="97"/>
      <c r="CTT499" s="97"/>
      <c r="CTU499" s="97"/>
      <c r="CTV499" s="97"/>
      <c r="CTW499" s="97"/>
      <c r="CTX499" s="97"/>
      <c r="CTY499" s="97"/>
      <c r="CUA499" s="94"/>
      <c r="CUB499" s="94"/>
      <c r="CUC499" s="95"/>
      <c r="CUD499" s="96"/>
      <c r="CUE499" s="97"/>
      <c r="CUF499" s="97"/>
      <c r="CUG499" s="97"/>
      <c r="CUH499" s="97"/>
      <c r="CUI499" s="97"/>
      <c r="CUJ499" s="97"/>
      <c r="CUK499" s="97"/>
      <c r="CUL499" s="97"/>
      <c r="CUN499" s="94"/>
      <c r="CUO499" s="94"/>
      <c r="CUP499" s="95"/>
      <c r="CUQ499" s="96"/>
      <c r="CUR499" s="97"/>
      <c r="CUS499" s="97"/>
      <c r="CUT499" s="97"/>
      <c r="CUU499" s="97"/>
      <c r="CUV499" s="97"/>
      <c r="CUW499" s="97"/>
      <c r="CUX499" s="97"/>
      <c r="CUY499" s="97"/>
      <c r="CVA499" s="94"/>
      <c r="CVB499" s="94"/>
      <c r="CVC499" s="95"/>
      <c r="CVD499" s="96"/>
      <c r="CVE499" s="97"/>
      <c r="CVF499" s="97"/>
      <c r="CVG499" s="97"/>
      <c r="CVH499" s="97"/>
      <c r="CVI499" s="97"/>
      <c r="CVJ499" s="97"/>
      <c r="CVK499" s="97"/>
      <c r="CVL499" s="97"/>
      <c r="CVN499" s="94"/>
      <c r="CVO499" s="94"/>
      <c r="CVP499" s="95"/>
      <c r="CVQ499" s="96"/>
      <c r="CVR499" s="97"/>
      <c r="CVS499" s="97"/>
      <c r="CVT499" s="97"/>
      <c r="CVU499" s="97"/>
      <c r="CVV499" s="97"/>
      <c r="CVW499" s="97"/>
      <c r="CVX499" s="97"/>
      <c r="CVY499" s="97"/>
      <c r="CWA499" s="94"/>
      <c r="CWB499" s="94"/>
      <c r="CWC499" s="95"/>
      <c r="CWD499" s="96"/>
      <c r="CWE499" s="97"/>
      <c r="CWF499" s="97"/>
      <c r="CWG499" s="97"/>
      <c r="CWH499" s="97"/>
      <c r="CWI499" s="97"/>
      <c r="CWJ499" s="97"/>
      <c r="CWK499" s="97"/>
      <c r="CWL499" s="97"/>
      <c r="CWN499" s="94"/>
      <c r="CWO499" s="94"/>
      <c r="CWP499" s="95"/>
      <c r="CWQ499" s="96"/>
      <c r="CWR499" s="97"/>
      <c r="CWS499" s="97"/>
      <c r="CWT499" s="97"/>
      <c r="CWU499" s="97"/>
      <c r="CWV499" s="97"/>
      <c r="CWW499" s="97"/>
      <c r="CWX499" s="97"/>
      <c r="CWY499" s="97"/>
      <c r="CXA499" s="94"/>
      <c r="CXB499" s="94"/>
      <c r="CXC499" s="95"/>
      <c r="CXD499" s="96"/>
      <c r="CXE499" s="97"/>
      <c r="CXF499" s="97"/>
      <c r="CXG499" s="97"/>
      <c r="CXH499" s="97"/>
      <c r="CXI499" s="97"/>
      <c r="CXJ499" s="97"/>
      <c r="CXK499" s="97"/>
      <c r="CXL499" s="97"/>
      <c r="CXN499" s="94"/>
      <c r="CXO499" s="94"/>
      <c r="CXP499" s="95"/>
      <c r="CXQ499" s="96"/>
      <c r="CXR499" s="97"/>
      <c r="CXS499" s="97"/>
      <c r="CXT499" s="97"/>
      <c r="CXU499" s="97"/>
      <c r="CXV499" s="97"/>
      <c r="CXW499" s="97"/>
      <c r="CXX499" s="97"/>
      <c r="CXY499" s="97"/>
      <c r="CYA499" s="94"/>
      <c r="CYB499" s="94"/>
      <c r="CYC499" s="95"/>
      <c r="CYD499" s="96"/>
      <c r="CYE499" s="97"/>
      <c r="CYF499" s="97"/>
      <c r="CYG499" s="97"/>
      <c r="CYH499" s="97"/>
      <c r="CYI499" s="97"/>
      <c r="CYJ499" s="97"/>
      <c r="CYK499" s="97"/>
      <c r="CYL499" s="97"/>
      <c r="CYN499" s="94"/>
      <c r="CYO499" s="94"/>
      <c r="CYP499" s="95"/>
      <c r="CYQ499" s="96"/>
      <c r="CYR499" s="97"/>
      <c r="CYS499" s="97"/>
      <c r="CYT499" s="97"/>
      <c r="CYU499" s="97"/>
      <c r="CYV499" s="97"/>
      <c r="CYW499" s="97"/>
      <c r="CYX499" s="97"/>
      <c r="CYY499" s="97"/>
      <c r="CZA499" s="94"/>
      <c r="CZB499" s="94"/>
      <c r="CZC499" s="95"/>
      <c r="CZD499" s="96"/>
      <c r="CZE499" s="97"/>
      <c r="CZF499" s="97"/>
      <c r="CZG499" s="97"/>
      <c r="CZH499" s="97"/>
      <c r="CZI499" s="97"/>
      <c r="CZJ499" s="97"/>
      <c r="CZK499" s="97"/>
      <c r="CZL499" s="97"/>
      <c r="CZN499" s="94"/>
      <c r="CZO499" s="94"/>
      <c r="CZP499" s="95"/>
      <c r="CZQ499" s="96"/>
      <c r="CZR499" s="97"/>
      <c r="CZS499" s="97"/>
      <c r="CZT499" s="97"/>
      <c r="CZU499" s="97"/>
      <c r="CZV499" s="97"/>
      <c r="CZW499" s="97"/>
      <c r="CZX499" s="97"/>
      <c r="CZY499" s="97"/>
      <c r="DAA499" s="94"/>
      <c r="DAB499" s="94"/>
      <c r="DAC499" s="95"/>
      <c r="DAD499" s="96"/>
      <c r="DAE499" s="97"/>
      <c r="DAF499" s="97"/>
      <c r="DAG499" s="97"/>
      <c r="DAH499" s="97"/>
      <c r="DAI499" s="97"/>
      <c r="DAJ499" s="97"/>
      <c r="DAK499" s="97"/>
      <c r="DAL499" s="97"/>
      <c r="DAN499" s="94"/>
      <c r="DAO499" s="94"/>
      <c r="DAP499" s="95"/>
      <c r="DAQ499" s="96"/>
      <c r="DAR499" s="97"/>
      <c r="DAS499" s="97"/>
      <c r="DAT499" s="97"/>
      <c r="DAU499" s="97"/>
      <c r="DAV499" s="97"/>
      <c r="DAW499" s="97"/>
      <c r="DAX499" s="97"/>
      <c r="DAY499" s="97"/>
      <c r="DBA499" s="94"/>
      <c r="DBB499" s="94"/>
      <c r="DBC499" s="95"/>
      <c r="DBD499" s="96"/>
      <c r="DBE499" s="97"/>
      <c r="DBF499" s="97"/>
      <c r="DBG499" s="97"/>
      <c r="DBH499" s="97"/>
      <c r="DBI499" s="97"/>
      <c r="DBJ499" s="97"/>
      <c r="DBK499" s="97"/>
      <c r="DBL499" s="97"/>
      <c r="DBN499" s="94"/>
      <c r="DBO499" s="94"/>
      <c r="DBP499" s="95"/>
      <c r="DBQ499" s="96"/>
      <c r="DBR499" s="97"/>
      <c r="DBS499" s="97"/>
      <c r="DBT499" s="97"/>
      <c r="DBU499" s="97"/>
      <c r="DBV499" s="97"/>
      <c r="DBW499" s="97"/>
      <c r="DBX499" s="97"/>
      <c r="DBY499" s="97"/>
      <c r="DCA499" s="94"/>
      <c r="DCB499" s="94"/>
      <c r="DCC499" s="95"/>
      <c r="DCD499" s="96"/>
      <c r="DCE499" s="97"/>
      <c r="DCF499" s="97"/>
      <c r="DCG499" s="97"/>
      <c r="DCH499" s="97"/>
      <c r="DCI499" s="97"/>
      <c r="DCJ499" s="97"/>
      <c r="DCK499" s="97"/>
      <c r="DCL499" s="97"/>
      <c r="DCN499" s="94"/>
      <c r="DCO499" s="94"/>
      <c r="DCP499" s="95"/>
      <c r="DCQ499" s="96"/>
      <c r="DCR499" s="97"/>
      <c r="DCS499" s="97"/>
      <c r="DCT499" s="97"/>
      <c r="DCU499" s="97"/>
      <c r="DCV499" s="97"/>
      <c r="DCW499" s="97"/>
      <c r="DCX499" s="97"/>
      <c r="DCY499" s="97"/>
      <c r="DDA499" s="94"/>
      <c r="DDB499" s="94"/>
      <c r="DDC499" s="95"/>
      <c r="DDD499" s="96"/>
      <c r="DDE499" s="97"/>
      <c r="DDF499" s="97"/>
      <c r="DDG499" s="97"/>
      <c r="DDH499" s="97"/>
      <c r="DDI499" s="97"/>
      <c r="DDJ499" s="97"/>
      <c r="DDK499" s="97"/>
      <c r="DDL499" s="97"/>
      <c r="DDN499" s="94"/>
      <c r="DDO499" s="94"/>
      <c r="DDP499" s="95"/>
      <c r="DDQ499" s="96"/>
      <c r="DDR499" s="97"/>
      <c r="DDS499" s="97"/>
      <c r="DDT499" s="97"/>
      <c r="DDU499" s="97"/>
      <c r="DDV499" s="97"/>
      <c r="DDW499" s="97"/>
      <c r="DDX499" s="97"/>
      <c r="DDY499" s="97"/>
      <c r="DEA499" s="94"/>
      <c r="DEB499" s="94"/>
      <c r="DEC499" s="95"/>
      <c r="DED499" s="96"/>
      <c r="DEE499" s="97"/>
      <c r="DEF499" s="97"/>
      <c r="DEG499" s="97"/>
      <c r="DEH499" s="97"/>
      <c r="DEI499" s="97"/>
      <c r="DEJ499" s="97"/>
      <c r="DEK499" s="97"/>
      <c r="DEL499" s="97"/>
      <c r="DEN499" s="94"/>
      <c r="DEO499" s="94"/>
      <c r="DEP499" s="95"/>
      <c r="DEQ499" s="96"/>
      <c r="DER499" s="97"/>
      <c r="DES499" s="97"/>
      <c r="DET499" s="97"/>
      <c r="DEU499" s="97"/>
      <c r="DEV499" s="97"/>
      <c r="DEW499" s="97"/>
      <c r="DEX499" s="97"/>
      <c r="DEY499" s="97"/>
      <c r="DFA499" s="94"/>
      <c r="DFB499" s="94"/>
      <c r="DFC499" s="95"/>
      <c r="DFD499" s="96"/>
      <c r="DFE499" s="97"/>
      <c r="DFF499" s="97"/>
      <c r="DFG499" s="97"/>
      <c r="DFH499" s="97"/>
      <c r="DFI499" s="97"/>
      <c r="DFJ499" s="97"/>
      <c r="DFK499" s="97"/>
      <c r="DFL499" s="97"/>
      <c r="DFN499" s="94"/>
      <c r="DFO499" s="94"/>
      <c r="DFP499" s="95"/>
      <c r="DFQ499" s="96"/>
      <c r="DFR499" s="97"/>
      <c r="DFS499" s="97"/>
      <c r="DFT499" s="97"/>
      <c r="DFU499" s="97"/>
      <c r="DFV499" s="97"/>
      <c r="DFW499" s="97"/>
      <c r="DFX499" s="97"/>
      <c r="DFY499" s="97"/>
      <c r="DGA499" s="94"/>
      <c r="DGB499" s="94"/>
      <c r="DGC499" s="95"/>
      <c r="DGD499" s="96"/>
      <c r="DGE499" s="97"/>
      <c r="DGF499" s="97"/>
      <c r="DGG499" s="97"/>
      <c r="DGH499" s="97"/>
      <c r="DGI499" s="97"/>
      <c r="DGJ499" s="97"/>
      <c r="DGK499" s="97"/>
      <c r="DGL499" s="97"/>
      <c r="DGN499" s="94"/>
      <c r="DGO499" s="94"/>
      <c r="DGP499" s="95"/>
      <c r="DGQ499" s="96"/>
      <c r="DGR499" s="97"/>
      <c r="DGS499" s="97"/>
      <c r="DGT499" s="97"/>
      <c r="DGU499" s="97"/>
      <c r="DGV499" s="97"/>
      <c r="DGW499" s="97"/>
      <c r="DGX499" s="97"/>
      <c r="DGY499" s="97"/>
      <c r="DHA499" s="94"/>
      <c r="DHB499" s="94"/>
      <c r="DHC499" s="95"/>
      <c r="DHD499" s="96"/>
      <c r="DHE499" s="97"/>
      <c r="DHF499" s="97"/>
      <c r="DHG499" s="97"/>
      <c r="DHH499" s="97"/>
      <c r="DHI499" s="97"/>
      <c r="DHJ499" s="97"/>
      <c r="DHK499" s="97"/>
      <c r="DHL499" s="97"/>
      <c r="DHN499" s="94"/>
      <c r="DHO499" s="94"/>
      <c r="DHP499" s="95"/>
      <c r="DHQ499" s="96"/>
      <c r="DHR499" s="97"/>
      <c r="DHS499" s="97"/>
      <c r="DHT499" s="97"/>
      <c r="DHU499" s="97"/>
      <c r="DHV499" s="97"/>
      <c r="DHW499" s="97"/>
      <c r="DHX499" s="97"/>
      <c r="DHY499" s="97"/>
      <c r="DIA499" s="94"/>
      <c r="DIB499" s="94"/>
      <c r="DIC499" s="95"/>
      <c r="DID499" s="96"/>
      <c r="DIE499" s="97"/>
      <c r="DIF499" s="97"/>
      <c r="DIG499" s="97"/>
      <c r="DIH499" s="97"/>
      <c r="DII499" s="97"/>
      <c r="DIJ499" s="97"/>
      <c r="DIK499" s="97"/>
      <c r="DIL499" s="97"/>
      <c r="DIN499" s="94"/>
      <c r="DIO499" s="94"/>
      <c r="DIP499" s="95"/>
      <c r="DIQ499" s="96"/>
      <c r="DIR499" s="97"/>
      <c r="DIS499" s="97"/>
      <c r="DIT499" s="97"/>
      <c r="DIU499" s="97"/>
      <c r="DIV499" s="97"/>
      <c r="DIW499" s="97"/>
      <c r="DIX499" s="97"/>
      <c r="DIY499" s="97"/>
      <c r="DJA499" s="94"/>
      <c r="DJB499" s="94"/>
      <c r="DJC499" s="95"/>
      <c r="DJD499" s="96"/>
      <c r="DJE499" s="97"/>
      <c r="DJF499" s="97"/>
      <c r="DJG499" s="97"/>
      <c r="DJH499" s="97"/>
      <c r="DJI499" s="97"/>
      <c r="DJJ499" s="97"/>
      <c r="DJK499" s="97"/>
      <c r="DJL499" s="97"/>
      <c r="DJN499" s="94"/>
      <c r="DJO499" s="94"/>
      <c r="DJP499" s="95"/>
      <c r="DJQ499" s="96"/>
      <c r="DJR499" s="97"/>
      <c r="DJS499" s="97"/>
      <c r="DJT499" s="97"/>
      <c r="DJU499" s="97"/>
      <c r="DJV499" s="97"/>
      <c r="DJW499" s="97"/>
      <c r="DJX499" s="97"/>
      <c r="DJY499" s="97"/>
      <c r="DKA499" s="94"/>
      <c r="DKB499" s="94"/>
      <c r="DKC499" s="95"/>
      <c r="DKD499" s="96"/>
      <c r="DKE499" s="97"/>
      <c r="DKF499" s="97"/>
      <c r="DKG499" s="97"/>
      <c r="DKH499" s="97"/>
      <c r="DKI499" s="97"/>
      <c r="DKJ499" s="97"/>
      <c r="DKK499" s="97"/>
      <c r="DKL499" s="97"/>
      <c r="DKN499" s="94"/>
      <c r="DKO499" s="94"/>
      <c r="DKP499" s="95"/>
      <c r="DKQ499" s="96"/>
      <c r="DKR499" s="97"/>
      <c r="DKS499" s="97"/>
      <c r="DKT499" s="97"/>
      <c r="DKU499" s="97"/>
      <c r="DKV499" s="97"/>
      <c r="DKW499" s="97"/>
      <c r="DKX499" s="97"/>
      <c r="DKY499" s="97"/>
      <c r="DLA499" s="94"/>
      <c r="DLB499" s="94"/>
      <c r="DLC499" s="95"/>
      <c r="DLD499" s="96"/>
      <c r="DLE499" s="97"/>
      <c r="DLF499" s="97"/>
      <c r="DLG499" s="97"/>
      <c r="DLH499" s="97"/>
      <c r="DLI499" s="97"/>
      <c r="DLJ499" s="97"/>
      <c r="DLK499" s="97"/>
      <c r="DLL499" s="97"/>
      <c r="DLN499" s="94"/>
      <c r="DLO499" s="94"/>
      <c r="DLP499" s="95"/>
      <c r="DLQ499" s="96"/>
      <c r="DLR499" s="97"/>
      <c r="DLS499" s="97"/>
      <c r="DLT499" s="97"/>
      <c r="DLU499" s="97"/>
      <c r="DLV499" s="97"/>
      <c r="DLW499" s="97"/>
      <c r="DLX499" s="97"/>
      <c r="DLY499" s="97"/>
      <c r="DMA499" s="94"/>
      <c r="DMB499" s="94"/>
      <c r="DMC499" s="95"/>
      <c r="DMD499" s="96"/>
      <c r="DME499" s="97"/>
      <c r="DMF499" s="97"/>
      <c r="DMG499" s="97"/>
      <c r="DMH499" s="97"/>
      <c r="DMI499" s="97"/>
      <c r="DMJ499" s="97"/>
      <c r="DMK499" s="97"/>
      <c r="DML499" s="97"/>
      <c r="DMN499" s="94"/>
      <c r="DMO499" s="94"/>
      <c r="DMP499" s="95"/>
      <c r="DMQ499" s="96"/>
      <c r="DMR499" s="97"/>
      <c r="DMS499" s="97"/>
      <c r="DMT499" s="97"/>
      <c r="DMU499" s="97"/>
      <c r="DMV499" s="97"/>
      <c r="DMW499" s="97"/>
      <c r="DMX499" s="97"/>
      <c r="DMY499" s="97"/>
      <c r="DNA499" s="94"/>
      <c r="DNB499" s="94"/>
      <c r="DNC499" s="95"/>
      <c r="DND499" s="96"/>
      <c r="DNE499" s="97"/>
      <c r="DNF499" s="97"/>
      <c r="DNG499" s="97"/>
      <c r="DNH499" s="97"/>
      <c r="DNI499" s="97"/>
      <c r="DNJ499" s="97"/>
      <c r="DNK499" s="97"/>
      <c r="DNL499" s="97"/>
      <c r="DNN499" s="94"/>
      <c r="DNO499" s="94"/>
      <c r="DNP499" s="95"/>
      <c r="DNQ499" s="96"/>
      <c r="DNR499" s="97"/>
      <c r="DNS499" s="97"/>
      <c r="DNT499" s="97"/>
      <c r="DNU499" s="97"/>
      <c r="DNV499" s="97"/>
      <c r="DNW499" s="97"/>
      <c r="DNX499" s="97"/>
      <c r="DNY499" s="97"/>
      <c r="DOA499" s="94"/>
      <c r="DOB499" s="94"/>
      <c r="DOC499" s="95"/>
      <c r="DOD499" s="96"/>
      <c r="DOE499" s="97"/>
      <c r="DOF499" s="97"/>
      <c r="DOG499" s="97"/>
      <c r="DOH499" s="97"/>
      <c r="DOI499" s="97"/>
      <c r="DOJ499" s="97"/>
      <c r="DOK499" s="97"/>
      <c r="DOL499" s="97"/>
      <c r="DON499" s="94"/>
      <c r="DOO499" s="94"/>
      <c r="DOP499" s="95"/>
      <c r="DOQ499" s="96"/>
      <c r="DOR499" s="97"/>
      <c r="DOS499" s="97"/>
      <c r="DOT499" s="97"/>
      <c r="DOU499" s="97"/>
      <c r="DOV499" s="97"/>
      <c r="DOW499" s="97"/>
      <c r="DOX499" s="97"/>
      <c r="DOY499" s="97"/>
      <c r="DPA499" s="94"/>
      <c r="DPB499" s="94"/>
      <c r="DPC499" s="95"/>
      <c r="DPD499" s="96"/>
      <c r="DPE499" s="97"/>
      <c r="DPF499" s="97"/>
      <c r="DPG499" s="97"/>
      <c r="DPH499" s="97"/>
      <c r="DPI499" s="97"/>
      <c r="DPJ499" s="97"/>
      <c r="DPK499" s="97"/>
      <c r="DPL499" s="97"/>
      <c r="DPN499" s="94"/>
      <c r="DPO499" s="94"/>
      <c r="DPP499" s="95"/>
      <c r="DPQ499" s="96"/>
      <c r="DPR499" s="97"/>
      <c r="DPS499" s="97"/>
      <c r="DPT499" s="97"/>
      <c r="DPU499" s="97"/>
      <c r="DPV499" s="97"/>
      <c r="DPW499" s="97"/>
      <c r="DPX499" s="97"/>
      <c r="DPY499" s="97"/>
      <c r="DQA499" s="94"/>
      <c r="DQB499" s="94"/>
      <c r="DQC499" s="95"/>
      <c r="DQD499" s="96"/>
      <c r="DQE499" s="97"/>
      <c r="DQF499" s="97"/>
      <c r="DQG499" s="97"/>
      <c r="DQH499" s="97"/>
      <c r="DQI499" s="97"/>
      <c r="DQJ499" s="97"/>
      <c r="DQK499" s="97"/>
      <c r="DQL499" s="97"/>
      <c r="DQN499" s="94"/>
      <c r="DQO499" s="94"/>
      <c r="DQP499" s="95"/>
      <c r="DQQ499" s="96"/>
      <c r="DQR499" s="97"/>
      <c r="DQS499" s="97"/>
      <c r="DQT499" s="97"/>
      <c r="DQU499" s="97"/>
      <c r="DQV499" s="97"/>
      <c r="DQW499" s="97"/>
      <c r="DQX499" s="97"/>
      <c r="DQY499" s="97"/>
      <c r="DRA499" s="94"/>
      <c r="DRB499" s="94"/>
      <c r="DRC499" s="95"/>
      <c r="DRD499" s="96"/>
      <c r="DRE499" s="97"/>
      <c r="DRF499" s="97"/>
      <c r="DRG499" s="97"/>
      <c r="DRH499" s="97"/>
      <c r="DRI499" s="97"/>
      <c r="DRJ499" s="97"/>
      <c r="DRK499" s="97"/>
      <c r="DRL499" s="97"/>
      <c r="DRN499" s="94"/>
      <c r="DRO499" s="94"/>
      <c r="DRP499" s="95"/>
      <c r="DRQ499" s="96"/>
      <c r="DRR499" s="97"/>
      <c r="DRS499" s="97"/>
      <c r="DRT499" s="97"/>
      <c r="DRU499" s="97"/>
      <c r="DRV499" s="97"/>
      <c r="DRW499" s="97"/>
      <c r="DRX499" s="97"/>
      <c r="DRY499" s="97"/>
      <c r="DSA499" s="94"/>
      <c r="DSB499" s="94"/>
      <c r="DSC499" s="95"/>
      <c r="DSD499" s="96"/>
      <c r="DSE499" s="97"/>
      <c r="DSF499" s="97"/>
      <c r="DSG499" s="97"/>
      <c r="DSH499" s="97"/>
      <c r="DSI499" s="97"/>
      <c r="DSJ499" s="97"/>
      <c r="DSK499" s="97"/>
      <c r="DSL499" s="97"/>
      <c r="DSN499" s="94"/>
      <c r="DSO499" s="94"/>
      <c r="DSP499" s="95"/>
      <c r="DSQ499" s="96"/>
      <c r="DSR499" s="97"/>
      <c r="DSS499" s="97"/>
      <c r="DST499" s="97"/>
      <c r="DSU499" s="97"/>
      <c r="DSV499" s="97"/>
      <c r="DSW499" s="97"/>
      <c r="DSX499" s="97"/>
      <c r="DSY499" s="97"/>
      <c r="DTA499" s="94"/>
      <c r="DTB499" s="94"/>
      <c r="DTC499" s="95"/>
      <c r="DTD499" s="96"/>
      <c r="DTE499" s="97"/>
      <c r="DTF499" s="97"/>
      <c r="DTG499" s="97"/>
      <c r="DTH499" s="97"/>
      <c r="DTI499" s="97"/>
      <c r="DTJ499" s="97"/>
      <c r="DTK499" s="97"/>
      <c r="DTL499" s="97"/>
      <c r="DTN499" s="94"/>
      <c r="DTO499" s="94"/>
      <c r="DTP499" s="95"/>
      <c r="DTQ499" s="96"/>
      <c r="DTR499" s="97"/>
      <c r="DTS499" s="97"/>
      <c r="DTT499" s="97"/>
      <c r="DTU499" s="97"/>
      <c r="DTV499" s="97"/>
      <c r="DTW499" s="97"/>
      <c r="DTX499" s="97"/>
      <c r="DTY499" s="97"/>
      <c r="DUA499" s="94"/>
      <c r="DUB499" s="94"/>
      <c r="DUC499" s="95"/>
      <c r="DUD499" s="96"/>
      <c r="DUE499" s="97"/>
      <c r="DUF499" s="97"/>
      <c r="DUG499" s="97"/>
      <c r="DUH499" s="97"/>
      <c r="DUI499" s="97"/>
      <c r="DUJ499" s="97"/>
      <c r="DUK499" s="97"/>
      <c r="DUL499" s="97"/>
      <c r="DUN499" s="94"/>
      <c r="DUO499" s="94"/>
      <c r="DUP499" s="95"/>
      <c r="DUQ499" s="96"/>
      <c r="DUR499" s="97"/>
      <c r="DUS499" s="97"/>
      <c r="DUT499" s="97"/>
      <c r="DUU499" s="97"/>
      <c r="DUV499" s="97"/>
      <c r="DUW499" s="97"/>
      <c r="DUX499" s="97"/>
      <c r="DUY499" s="97"/>
      <c r="DVA499" s="94"/>
      <c r="DVB499" s="94"/>
      <c r="DVC499" s="95"/>
      <c r="DVD499" s="96"/>
      <c r="DVE499" s="97"/>
      <c r="DVF499" s="97"/>
      <c r="DVG499" s="97"/>
      <c r="DVH499" s="97"/>
      <c r="DVI499" s="97"/>
      <c r="DVJ499" s="97"/>
      <c r="DVK499" s="97"/>
      <c r="DVL499" s="97"/>
      <c r="DVN499" s="94"/>
      <c r="DVO499" s="94"/>
      <c r="DVP499" s="95"/>
      <c r="DVQ499" s="96"/>
      <c r="DVR499" s="97"/>
      <c r="DVS499" s="97"/>
      <c r="DVT499" s="97"/>
      <c r="DVU499" s="97"/>
      <c r="DVV499" s="97"/>
      <c r="DVW499" s="97"/>
      <c r="DVX499" s="97"/>
      <c r="DVY499" s="97"/>
      <c r="DWA499" s="94"/>
      <c r="DWB499" s="94"/>
      <c r="DWC499" s="95"/>
      <c r="DWD499" s="96"/>
      <c r="DWE499" s="97"/>
      <c r="DWF499" s="97"/>
      <c r="DWG499" s="97"/>
      <c r="DWH499" s="97"/>
      <c r="DWI499" s="97"/>
      <c r="DWJ499" s="97"/>
      <c r="DWK499" s="97"/>
      <c r="DWL499" s="97"/>
      <c r="DWN499" s="94"/>
      <c r="DWO499" s="94"/>
      <c r="DWP499" s="95"/>
      <c r="DWQ499" s="96"/>
      <c r="DWR499" s="97"/>
      <c r="DWS499" s="97"/>
      <c r="DWT499" s="97"/>
      <c r="DWU499" s="97"/>
      <c r="DWV499" s="97"/>
      <c r="DWW499" s="97"/>
      <c r="DWX499" s="97"/>
      <c r="DWY499" s="97"/>
      <c r="DXA499" s="94"/>
      <c r="DXB499" s="94"/>
      <c r="DXC499" s="95"/>
      <c r="DXD499" s="96"/>
      <c r="DXE499" s="97"/>
      <c r="DXF499" s="97"/>
      <c r="DXG499" s="97"/>
      <c r="DXH499" s="97"/>
      <c r="DXI499" s="97"/>
      <c r="DXJ499" s="97"/>
      <c r="DXK499" s="97"/>
      <c r="DXL499" s="97"/>
      <c r="DXN499" s="94"/>
      <c r="DXO499" s="94"/>
      <c r="DXP499" s="95"/>
      <c r="DXQ499" s="96"/>
      <c r="DXR499" s="97"/>
      <c r="DXS499" s="97"/>
      <c r="DXT499" s="97"/>
      <c r="DXU499" s="97"/>
      <c r="DXV499" s="97"/>
      <c r="DXW499" s="97"/>
      <c r="DXX499" s="97"/>
      <c r="DXY499" s="97"/>
      <c r="DYA499" s="94"/>
      <c r="DYB499" s="94"/>
      <c r="DYC499" s="95"/>
      <c r="DYD499" s="96"/>
      <c r="DYE499" s="97"/>
      <c r="DYF499" s="97"/>
      <c r="DYG499" s="97"/>
      <c r="DYH499" s="97"/>
      <c r="DYI499" s="97"/>
      <c r="DYJ499" s="97"/>
      <c r="DYK499" s="97"/>
      <c r="DYL499" s="97"/>
      <c r="DYN499" s="94"/>
      <c r="DYO499" s="94"/>
      <c r="DYP499" s="95"/>
      <c r="DYQ499" s="96"/>
      <c r="DYR499" s="97"/>
      <c r="DYS499" s="97"/>
      <c r="DYT499" s="97"/>
      <c r="DYU499" s="97"/>
      <c r="DYV499" s="97"/>
      <c r="DYW499" s="97"/>
      <c r="DYX499" s="97"/>
      <c r="DYY499" s="97"/>
      <c r="DZA499" s="94"/>
      <c r="DZB499" s="94"/>
      <c r="DZC499" s="95"/>
      <c r="DZD499" s="96"/>
      <c r="DZE499" s="97"/>
      <c r="DZF499" s="97"/>
      <c r="DZG499" s="97"/>
      <c r="DZH499" s="97"/>
      <c r="DZI499" s="97"/>
      <c r="DZJ499" s="97"/>
      <c r="DZK499" s="97"/>
      <c r="DZL499" s="97"/>
      <c r="DZN499" s="94"/>
      <c r="DZO499" s="94"/>
      <c r="DZP499" s="95"/>
      <c r="DZQ499" s="96"/>
      <c r="DZR499" s="97"/>
      <c r="DZS499" s="97"/>
      <c r="DZT499" s="97"/>
      <c r="DZU499" s="97"/>
      <c r="DZV499" s="97"/>
      <c r="DZW499" s="97"/>
      <c r="DZX499" s="97"/>
      <c r="DZY499" s="97"/>
      <c r="EAA499" s="94"/>
      <c r="EAB499" s="94"/>
      <c r="EAC499" s="95"/>
      <c r="EAD499" s="96"/>
      <c r="EAE499" s="97"/>
      <c r="EAF499" s="97"/>
      <c r="EAG499" s="97"/>
      <c r="EAH499" s="97"/>
      <c r="EAI499" s="97"/>
      <c r="EAJ499" s="97"/>
      <c r="EAK499" s="97"/>
      <c r="EAL499" s="97"/>
      <c r="EAN499" s="94"/>
      <c r="EAO499" s="94"/>
      <c r="EAP499" s="95"/>
      <c r="EAQ499" s="96"/>
      <c r="EAR499" s="97"/>
      <c r="EAS499" s="97"/>
      <c r="EAT499" s="97"/>
      <c r="EAU499" s="97"/>
      <c r="EAV499" s="97"/>
      <c r="EAW499" s="97"/>
      <c r="EAX499" s="97"/>
      <c r="EAY499" s="97"/>
      <c r="EBA499" s="94"/>
      <c r="EBB499" s="94"/>
      <c r="EBC499" s="95"/>
      <c r="EBD499" s="96"/>
      <c r="EBE499" s="97"/>
      <c r="EBF499" s="97"/>
      <c r="EBG499" s="97"/>
      <c r="EBH499" s="97"/>
      <c r="EBI499" s="97"/>
      <c r="EBJ499" s="97"/>
      <c r="EBK499" s="97"/>
      <c r="EBL499" s="97"/>
      <c r="EBN499" s="94"/>
      <c r="EBO499" s="94"/>
      <c r="EBP499" s="95"/>
      <c r="EBQ499" s="96"/>
      <c r="EBR499" s="97"/>
      <c r="EBS499" s="97"/>
      <c r="EBT499" s="97"/>
      <c r="EBU499" s="97"/>
      <c r="EBV499" s="97"/>
      <c r="EBW499" s="97"/>
      <c r="EBX499" s="97"/>
      <c r="EBY499" s="97"/>
      <c r="ECA499" s="94"/>
      <c r="ECB499" s="94"/>
      <c r="ECC499" s="95"/>
      <c r="ECD499" s="96"/>
      <c r="ECE499" s="97"/>
      <c r="ECF499" s="97"/>
      <c r="ECG499" s="97"/>
      <c r="ECH499" s="97"/>
      <c r="ECI499" s="97"/>
      <c r="ECJ499" s="97"/>
      <c r="ECK499" s="97"/>
      <c r="ECL499" s="97"/>
      <c r="ECN499" s="94"/>
      <c r="ECO499" s="94"/>
      <c r="ECP499" s="95"/>
      <c r="ECQ499" s="96"/>
      <c r="ECR499" s="97"/>
      <c r="ECS499" s="97"/>
      <c r="ECT499" s="97"/>
      <c r="ECU499" s="97"/>
      <c r="ECV499" s="97"/>
      <c r="ECW499" s="97"/>
      <c r="ECX499" s="97"/>
      <c r="ECY499" s="97"/>
      <c r="EDA499" s="94"/>
      <c r="EDB499" s="94"/>
      <c r="EDC499" s="95"/>
      <c r="EDD499" s="96"/>
      <c r="EDE499" s="97"/>
      <c r="EDF499" s="97"/>
      <c r="EDG499" s="97"/>
      <c r="EDH499" s="97"/>
      <c r="EDI499" s="97"/>
      <c r="EDJ499" s="97"/>
      <c r="EDK499" s="97"/>
      <c r="EDL499" s="97"/>
      <c r="EDN499" s="94"/>
      <c r="EDO499" s="94"/>
      <c r="EDP499" s="95"/>
      <c r="EDQ499" s="96"/>
      <c r="EDR499" s="97"/>
      <c r="EDS499" s="97"/>
      <c r="EDT499" s="97"/>
      <c r="EDU499" s="97"/>
      <c r="EDV499" s="97"/>
      <c r="EDW499" s="97"/>
      <c r="EDX499" s="97"/>
      <c r="EDY499" s="97"/>
      <c r="EEA499" s="94"/>
      <c r="EEB499" s="94"/>
      <c r="EEC499" s="95"/>
      <c r="EED499" s="96"/>
      <c r="EEE499" s="97"/>
      <c r="EEF499" s="97"/>
      <c r="EEG499" s="97"/>
      <c r="EEH499" s="97"/>
      <c r="EEI499" s="97"/>
      <c r="EEJ499" s="97"/>
      <c r="EEK499" s="97"/>
      <c r="EEL499" s="97"/>
      <c r="EEN499" s="94"/>
      <c r="EEO499" s="94"/>
      <c r="EEP499" s="95"/>
      <c r="EEQ499" s="96"/>
      <c r="EER499" s="97"/>
      <c r="EES499" s="97"/>
      <c r="EET499" s="97"/>
      <c r="EEU499" s="97"/>
      <c r="EEV499" s="97"/>
      <c r="EEW499" s="97"/>
      <c r="EEX499" s="97"/>
      <c r="EEY499" s="97"/>
      <c r="EFA499" s="94"/>
      <c r="EFB499" s="94"/>
      <c r="EFC499" s="95"/>
      <c r="EFD499" s="96"/>
      <c r="EFE499" s="97"/>
      <c r="EFF499" s="97"/>
      <c r="EFG499" s="97"/>
      <c r="EFH499" s="97"/>
      <c r="EFI499" s="97"/>
      <c r="EFJ499" s="97"/>
      <c r="EFK499" s="97"/>
      <c r="EFL499" s="97"/>
      <c r="EFN499" s="94"/>
      <c r="EFO499" s="94"/>
      <c r="EFP499" s="95"/>
      <c r="EFQ499" s="96"/>
      <c r="EFR499" s="97"/>
      <c r="EFS499" s="97"/>
      <c r="EFT499" s="97"/>
      <c r="EFU499" s="97"/>
      <c r="EFV499" s="97"/>
      <c r="EFW499" s="97"/>
      <c r="EFX499" s="97"/>
      <c r="EFY499" s="97"/>
      <c r="EGA499" s="94"/>
      <c r="EGB499" s="94"/>
      <c r="EGC499" s="95"/>
      <c r="EGD499" s="96"/>
      <c r="EGE499" s="97"/>
      <c r="EGF499" s="97"/>
      <c r="EGG499" s="97"/>
      <c r="EGH499" s="97"/>
      <c r="EGI499" s="97"/>
      <c r="EGJ499" s="97"/>
      <c r="EGK499" s="97"/>
      <c r="EGL499" s="97"/>
      <c r="EGN499" s="94"/>
      <c r="EGO499" s="94"/>
      <c r="EGP499" s="95"/>
      <c r="EGQ499" s="96"/>
      <c r="EGR499" s="97"/>
      <c r="EGS499" s="97"/>
      <c r="EGT499" s="97"/>
      <c r="EGU499" s="97"/>
      <c r="EGV499" s="97"/>
      <c r="EGW499" s="97"/>
      <c r="EGX499" s="97"/>
      <c r="EGY499" s="97"/>
      <c r="EHA499" s="94"/>
      <c r="EHB499" s="94"/>
      <c r="EHC499" s="95"/>
      <c r="EHD499" s="96"/>
      <c r="EHE499" s="97"/>
      <c r="EHF499" s="97"/>
      <c r="EHG499" s="97"/>
      <c r="EHH499" s="97"/>
      <c r="EHI499" s="97"/>
      <c r="EHJ499" s="97"/>
      <c r="EHK499" s="97"/>
      <c r="EHL499" s="97"/>
      <c r="EHN499" s="94"/>
      <c r="EHO499" s="94"/>
      <c r="EHP499" s="95"/>
      <c r="EHQ499" s="96"/>
      <c r="EHR499" s="97"/>
      <c r="EHS499" s="97"/>
      <c r="EHT499" s="97"/>
      <c r="EHU499" s="97"/>
      <c r="EHV499" s="97"/>
      <c r="EHW499" s="97"/>
      <c r="EHX499" s="97"/>
      <c r="EHY499" s="97"/>
      <c r="EIA499" s="94"/>
      <c r="EIB499" s="94"/>
      <c r="EIC499" s="95"/>
      <c r="EID499" s="96"/>
      <c r="EIE499" s="97"/>
      <c r="EIF499" s="97"/>
      <c r="EIG499" s="97"/>
      <c r="EIH499" s="97"/>
      <c r="EII499" s="97"/>
      <c r="EIJ499" s="97"/>
      <c r="EIK499" s="97"/>
      <c r="EIL499" s="97"/>
      <c r="EIN499" s="94"/>
      <c r="EIO499" s="94"/>
      <c r="EIP499" s="95"/>
      <c r="EIQ499" s="96"/>
      <c r="EIR499" s="97"/>
      <c r="EIS499" s="97"/>
      <c r="EIT499" s="97"/>
      <c r="EIU499" s="97"/>
      <c r="EIV499" s="97"/>
      <c r="EIW499" s="97"/>
      <c r="EIX499" s="97"/>
      <c r="EIY499" s="97"/>
      <c r="EJA499" s="94"/>
      <c r="EJB499" s="94"/>
      <c r="EJC499" s="95"/>
      <c r="EJD499" s="96"/>
      <c r="EJE499" s="97"/>
      <c r="EJF499" s="97"/>
      <c r="EJG499" s="97"/>
      <c r="EJH499" s="97"/>
      <c r="EJI499" s="97"/>
      <c r="EJJ499" s="97"/>
      <c r="EJK499" s="97"/>
      <c r="EJL499" s="97"/>
      <c r="EJN499" s="94"/>
      <c r="EJO499" s="94"/>
      <c r="EJP499" s="95"/>
      <c r="EJQ499" s="96"/>
      <c r="EJR499" s="97"/>
      <c r="EJS499" s="97"/>
      <c r="EJT499" s="97"/>
      <c r="EJU499" s="97"/>
      <c r="EJV499" s="97"/>
      <c r="EJW499" s="97"/>
      <c r="EJX499" s="97"/>
      <c r="EJY499" s="97"/>
      <c r="EKA499" s="94"/>
      <c r="EKB499" s="94"/>
      <c r="EKC499" s="95"/>
      <c r="EKD499" s="96"/>
      <c r="EKE499" s="97"/>
      <c r="EKF499" s="97"/>
      <c r="EKG499" s="97"/>
      <c r="EKH499" s="97"/>
      <c r="EKI499" s="97"/>
      <c r="EKJ499" s="97"/>
      <c r="EKK499" s="97"/>
      <c r="EKL499" s="97"/>
      <c r="EKN499" s="94"/>
      <c r="EKO499" s="94"/>
      <c r="EKP499" s="95"/>
      <c r="EKQ499" s="96"/>
      <c r="EKR499" s="97"/>
      <c r="EKS499" s="97"/>
      <c r="EKT499" s="97"/>
      <c r="EKU499" s="97"/>
      <c r="EKV499" s="97"/>
      <c r="EKW499" s="97"/>
      <c r="EKX499" s="97"/>
      <c r="EKY499" s="97"/>
      <c r="ELA499" s="94"/>
      <c r="ELB499" s="94"/>
      <c r="ELC499" s="95"/>
      <c r="ELD499" s="96"/>
      <c r="ELE499" s="97"/>
      <c r="ELF499" s="97"/>
      <c r="ELG499" s="97"/>
      <c r="ELH499" s="97"/>
      <c r="ELI499" s="97"/>
      <c r="ELJ499" s="97"/>
      <c r="ELK499" s="97"/>
      <c r="ELL499" s="97"/>
      <c r="ELN499" s="94"/>
      <c r="ELO499" s="94"/>
      <c r="ELP499" s="95"/>
      <c r="ELQ499" s="96"/>
      <c r="ELR499" s="97"/>
      <c r="ELS499" s="97"/>
      <c r="ELT499" s="97"/>
      <c r="ELU499" s="97"/>
      <c r="ELV499" s="97"/>
      <c r="ELW499" s="97"/>
      <c r="ELX499" s="97"/>
      <c r="ELY499" s="97"/>
      <c r="EMA499" s="94"/>
      <c r="EMB499" s="94"/>
      <c r="EMC499" s="95"/>
      <c r="EMD499" s="96"/>
      <c r="EME499" s="97"/>
      <c r="EMF499" s="97"/>
      <c r="EMG499" s="97"/>
      <c r="EMH499" s="97"/>
      <c r="EMI499" s="97"/>
      <c r="EMJ499" s="97"/>
      <c r="EMK499" s="97"/>
      <c r="EML499" s="97"/>
      <c r="EMN499" s="94"/>
      <c r="EMO499" s="94"/>
      <c r="EMP499" s="95"/>
      <c r="EMQ499" s="96"/>
      <c r="EMR499" s="97"/>
      <c r="EMS499" s="97"/>
      <c r="EMT499" s="97"/>
      <c r="EMU499" s="97"/>
      <c r="EMV499" s="97"/>
      <c r="EMW499" s="97"/>
      <c r="EMX499" s="97"/>
      <c r="EMY499" s="97"/>
      <c r="ENA499" s="94"/>
      <c r="ENB499" s="94"/>
      <c r="ENC499" s="95"/>
      <c r="END499" s="96"/>
      <c r="ENE499" s="97"/>
      <c r="ENF499" s="97"/>
      <c r="ENG499" s="97"/>
      <c r="ENH499" s="97"/>
      <c r="ENI499" s="97"/>
      <c r="ENJ499" s="97"/>
      <c r="ENK499" s="97"/>
      <c r="ENL499" s="97"/>
      <c r="ENN499" s="94"/>
      <c r="ENO499" s="94"/>
      <c r="ENP499" s="95"/>
      <c r="ENQ499" s="96"/>
      <c r="ENR499" s="97"/>
      <c r="ENS499" s="97"/>
      <c r="ENT499" s="97"/>
      <c r="ENU499" s="97"/>
      <c r="ENV499" s="97"/>
      <c r="ENW499" s="97"/>
      <c r="ENX499" s="97"/>
      <c r="ENY499" s="97"/>
      <c r="EOA499" s="94"/>
      <c r="EOB499" s="94"/>
      <c r="EOC499" s="95"/>
      <c r="EOD499" s="96"/>
      <c r="EOE499" s="97"/>
      <c r="EOF499" s="97"/>
      <c r="EOG499" s="97"/>
      <c r="EOH499" s="97"/>
      <c r="EOI499" s="97"/>
      <c r="EOJ499" s="97"/>
      <c r="EOK499" s="97"/>
      <c r="EOL499" s="97"/>
      <c r="EON499" s="94"/>
      <c r="EOO499" s="94"/>
      <c r="EOP499" s="95"/>
      <c r="EOQ499" s="96"/>
      <c r="EOR499" s="97"/>
      <c r="EOS499" s="97"/>
      <c r="EOT499" s="97"/>
      <c r="EOU499" s="97"/>
      <c r="EOV499" s="97"/>
      <c r="EOW499" s="97"/>
      <c r="EOX499" s="97"/>
      <c r="EOY499" s="97"/>
      <c r="EPA499" s="94"/>
      <c r="EPB499" s="94"/>
      <c r="EPC499" s="95"/>
      <c r="EPD499" s="96"/>
      <c r="EPE499" s="97"/>
      <c r="EPF499" s="97"/>
      <c r="EPG499" s="97"/>
      <c r="EPH499" s="97"/>
      <c r="EPI499" s="97"/>
      <c r="EPJ499" s="97"/>
      <c r="EPK499" s="97"/>
      <c r="EPL499" s="97"/>
      <c r="EPN499" s="94"/>
      <c r="EPO499" s="94"/>
      <c r="EPP499" s="95"/>
      <c r="EPQ499" s="96"/>
      <c r="EPR499" s="97"/>
      <c r="EPS499" s="97"/>
      <c r="EPT499" s="97"/>
      <c r="EPU499" s="97"/>
      <c r="EPV499" s="97"/>
      <c r="EPW499" s="97"/>
      <c r="EPX499" s="97"/>
      <c r="EPY499" s="97"/>
      <c r="EQA499" s="94"/>
      <c r="EQB499" s="94"/>
      <c r="EQC499" s="95"/>
      <c r="EQD499" s="96"/>
      <c r="EQE499" s="97"/>
      <c r="EQF499" s="97"/>
      <c r="EQG499" s="97"/>
      <c r="EQH499" s="97"/>
      <c r="EQI499" s="97"/>
      <c r="EQJ499" s="97"/>
      <c r="EQK499" s="97"/>
      <c r="EQL499" s="97"/>
      <c r="EQN499" s="94"/>
      <c r="EQO499" s="94"/>
      <c r="EQP499" s="95"/>
      <c r="EQQ499" s="96"/>
      <c r="EQR499" s="97"/>
      <c r="EQS499" s="97"/>
      <c r="EQT499" s="97"/>
      <c r="EQU499" s="97"/>
      <c r="EQV499" s="97"/>
      <c r="EQW499" s="97"/>
      <c r="EQX499" s="97"/>
      <c r="EQY499" s="97"/>
      <c r="ERA499" s="94"/>
      <c r="ERB499" s="94"/>
      <c r="ERC499" s="95"/>
      <c r="ERD499" s="96"/>
      <c r="ERE499" s="97"/>
      <c r="ERF499" s="97"/>
      <c r="ERG499" s="97"/>
      <c r="ERH499" s="97"/>
      <c r="ERI499" s="97"/>
      <c r="ERJ499" s="97"/>
      <c r="ERK499" s="97"/>
      <c r="ERL499" s="97"/>
      <c r="ERN499" s="94"/>
      <c r="ERO499" s="94"/>
      <c r="ERP499" s="95"/>
      <c r="ERQ499" s="96"/>
      <c r="ERR499" s="97"/>
      <c r="ERS499" s="97"/>
      <c r="ERT499" s="97"/>
      <c r="ERU499" s="97"/>
      <c r="ERV499" s="97"/>
      <c r="ERW499" s="97"/>
      <c r="ERX499" s="97"/>
      <c r="ERY499" s="97"/>
      <c r="ESA499" s="94"/>
      <c r="ESB499" s="94"/>
      <c r="ESC499" s="95"/>
      <c r="ESD499" s="96"/>
      <c r="ESE499" s="97"/>
      <c r="ESF499" s="97"/>
      <c r="ESG499" s="97"/>
      <c r="ESH499" s="97"/>
      <c r="ESI499" s="97"/>
      <c r="ESJ499" s="97"/>
      <c r="ESK499" s="97"/>
      <c r="ESL499" s="97"/>
      <c r="ESN499" s="94"/>
      <c r="ESO499" s="94"/>
      <c r="ESP499" s="95"/>
      <c r="ESQ499" s="96"/>
      <c r="ESR499" s="97"/>
      <c r="ESS499" s="97"/>
      <c r="EST499" s="97"/>
      <c r="ESU499" s="97"/>
      <c r="ESV499" s="97"/>
      <c r="ESW499" s="97"/>
      <c r="ESX499" s="97"/>
      <c r="ESY499" s="97"/>
      <c r="ETA499" s="94"/>
      <c r="ETB499" s="94"/>
      <c r="ETC499" s="95"/>
      <c r="ETD499" s="96"/>
      <c r="ETE499" s="97"/>
      <c r="ETF499" s="97"/>
      <c r="ETG499" s="97"/>
      <c r="ETH499" s="97"/>
      <c r="ETI499" s="97"/>
      <c r="ETJ499" s="97"/>
      <c r="ETK499" s="97"/>
      <c r="ETL499" s="97"/>
      <c r="ETN499" s="94"/>
      <c r="ETO499" s="94"/>
      <c r="ETP499" s="95"/>
      <c r="ETQ499" s="96"/>
      <c r="ETR499" s="97"/>
      <c r="ETS499" s="97"/>
      <c r="ETT499" s="97"/>
      <c r="ETU499" s="97"/>
      <c r="ETV499" s="97"/>
      <c r="ETW499" s="97"/>
      <c r="ETX499" s="97"/>
      <c r="ETY499" s="97"/>
      <c r="EUA499" s="94"/>
      <c r="EUB499" s="94"/>
      <c r="EUC499" s="95"/>
      <c r="EUD499" s="96"/>
      <c r="EUE499" s="97"/>
      <c r="EUF499" s="97"/>
      <c r="EUG499" s="97"/>
      <c r="EUH499" s="97"/>
      <c r="EUI499" s="97"/>
      <c r="EUJ499" s="97"/>
      <c r="EUK499" s="97"/>
      <c r="EUL499" s="97"/>
      <c r="EUN499" s="94"/>
      <c r="EUO499" s="94"/>
      <c r="EUP499" s="95"/>
      <c r="EUQ499" s="96"/>
      <c r="EUR499" s="97"/>
      <c r="EUS499" s="97"/>
      <c r="EUT499" s="97"/>
      <c r="EUU499" s="97"/>
      <c r="EUV499" s="97"/>
      <c r="EUW499" s="97"/>
      <c r="EUX499" s="97"/>
      <c r="EUY499" s="97"/>
      <c r="EVA499" s="94"/>
      <c r="EVB499" s="94"/>
      <c r="EVC499" s="95"/>
      <c r="EVD499" s="96"/>
      <c r="EVE499" s="97"/>
      <c r="EVF499" s="97"/>
      <c r="EVG499" s="97"/>
      <c r="EVH499" s="97"/>
      <c r="EVI499" s="97"/>
      <c r="EVJ499" s="97"/>
      <c r="EVK499" s="97"/>
      <c r="EVL499" s="97"/>
      <c r="EVN499" s="94"/>
      <c r="EVO499" s="94"/>
      <c r="EVP499" s="95"/>
      <c r="EVQ499" s="96"/>
      <c r="EVR499" s="97"/>
      <c r="EVS499" s="97"/>
      <c r="EVT499" s="97"/>
      <c r="EVU499" s="97"/>
      <c r="EVV499" s="97"/>
      <c r="EVW499" s="97"/>
      <c r="EVX499" s="97"/>
      <c r="EVY499" s="97"/>
      <c r="EWA499" s="94"/>
      <c r="EWB499" s="94"/>
      <c r="EWC499" s="95"/>
      <c r="EWD499" s="96"/>
      <c r="EWE499" s="97"/>
      <c r="EWF499" s="97"/>
      <c r="EWG499" s="97"/>
      <c r="EWH499" s="97"/>
      <c r="EWI499" s="97"/>
      <c r="EWJ499" s="97"/>
      <c r="EWK499" s="97"/>
      <c r="EWL499" s="97"/>
      <c r="EWN499" s="94"/>
      <c r="EWO499" s="94"/>
      <c r="EWP499" s="95"/>
      <c r="EWQ499" s="96"/>
      <c r="EWR499" s="97"/>
      <c r="EWS499" s="97"/>
      <c r="EWT499" s="97"/>
      <c r="EWU499" s="97"/>
      <c r="EWV499" s="97"/>
      <c r="EWW499" s="97"/>
      <c r="EWX499" s="97"/>
      <c r="EWY499" s="97"/>
      <c r="EXA499" s="94"/>
      <c r="EXB499" s="94"/>
      <c r="EXC499" s="95"/>
      <c r="EXD499" s="96"/>
      <c r="EXE499" s="97"/>
      <c r="EXF499" s="97"/>
      <c r="EXG499" s="97"/>
      <c r="EXH499" s="97"/>
      <c r="EXI499" s="97"/>
      <c r="EXJ499" s="97"/>
      <c r="EXK499" s="97"/>
      <c r="EXL499" s="97"/>
      <c r="EXN499" s="94"/>
      <c r="EXO499" s="94"/>
      <c r="EXP499" s="95"/>
      <c r="EXQ499" s="96"/>
      <c r="EXR499" s="97"/>
      <c r="EXS499" s="97"/>
      <c r="EXT499" s="97"/>
      <c r="EXU499" s="97"/>
      <c r="EXV499" s="97"/>
      <c r="EXW499" s="97"/>
      <c r="EXX499" s="97"/>
      <c r="EXY499" s="97"/>
      <c r="EYA499" s="94"/>
      <c r="EYB499" s="94"/>
      <c r="EYC499" s="95"/>
      <c r="EYD499" s="96"/>
      <c r="EYE499" s="97"/>
      <c r="EYF499" s="97"/>
      <c r="EYG499" s="97"/>
      <c r="EYH499" s="97"/>
      <c r="EYI499" s="97"/>
      <c r="EYJ499" s="97"/>
      <c r="EYK499" s="97"/>
      <c r="EYL499" s="97"/>
      <c r="EYN499" s="94"/>
      <c r="EYO499" s="94"/>
      <c r="EYP499" s="95"/>
      <c r="EYQ499" s="96"/>
      <c r="EYR499" s="97"/>
      <c r="EYS499" s="97"/>
      <c r="EYT499" s="97"/>
      <c r="EYU499" s="97"/>
      <c r="EYV499" s="97"/>
      <c r="EYW499" s="97"/>
      <c r="EYX499" s="97"/>
      <c r="EYY499" s="97"/>
      <c r="EZA499" s="94"/>
      <c r="EZB499" s="94"/>
      <c r="EZC499" s="95"/>
      <c r="EZD499" s="96"/>
      <c r="EZE499" s="97"/>
      <c r="EZF499" s="97"/>
      <c r="EZG499" s="97"/>
      <c r="EZH499" s="97"/>
      <c r="EZI499" s="97"/>
      <c r="EZJ499" s="97"/>
      <c r="EZK499" s="97"/>
      <c r="EZL499" s="97"/>
      <c r="EZN499" s="94"/>
      <c r="EZO499" s="94"/>
      <c r="EZP499" s="95"/>
      <c r="EZQ499" s="96"/>
      <c r="EZR499" s="97"/>
      <c r="EZS499" s="97"/>
      <c r="EZT499" s="97"/>
      <c r="EZU499" s="97"/>
      <c r="EZV499" s="97"/>
      <c r="EZW499" s="97"/>
      <c r="EZX499" s="97"/>
      <c r="EZY499" s="97"/>
      <c r="FAA499" s="94"/>
      <c r="FAB499" s="94"/>
      <c r="FAC499" s="95"/>
      <c r="FAD499" s="96"/>
      <c r="FAE499" s="97"/>
      <c r="FAF499" s="97"/>
      <c r="FAG499" s="97"/>
      <c r="FAH499" s="97"/>
      <c r="FAI499" s="97"/>
      <c r="FAJ499" s="97"/>
      <c r="FAK499" s="97"/>
      <c r="FAL499" s="97"/>
      <c r="FAN499" s="94"/>
      <c r="FAO499" s="94"/>
      <c r="FAP499" s="95"/>
      <c r="FAQ499" s="96"/>
      <c r="FAR499" s="97"/>
      <c r="FAS499" s="97"/>
      <c r="FAT499" s="97"/>
      <c r="FAU499" s="97"/>
      <c r="FAV499" s="97"/>
      <c r="FAW499" s="97"/>
      <c r="FAX499" s="97"/>
      <c r="FAY499" s="97"/>
      <c r="FBA499" s="94"/>
      <c r="FBB499" s="94"/>
      <c r="FBC499" s="95"/>
      <c r="FBD499" s="96"/>
      <c r="FBE499" s="97"/>
      <c r="FBF499" s="97"/>
      <c r="FBG499" s="97"/>
      <c r="FBH499" s="97"/>
      <c r="FBI499" s="97"/>
      <c r="FBJ499" s="97"/>
      <c r="FBK499" s="97"/>
      <c r="FBL499" s="97"/>
      <c r="FBN499" s="94"/>
      <c r="FBO499" s="94"/>
      <c r="FBP499" s="95"/>
      <c r="FBQ499" s="96"/>
      <c r="FBR499" s="97"/>
      <c r="FBS499" s="97"/>
      <c r="FBT499" s="97"/>
      <c r="FBU499" s="97"/>
      <c r="FBV499" s="97"/>
      <c r="FBW499" s="97"/>
      <c r="FBX499" s="97"/>
      <c r="FBY499" s="97"/>
      <c r="FCA499" s="94"/>
      <c r="FCB499" s="94"/>
      <c r="FCC499" s="95"/>
      <c r="FCD499" s="96"/>
      <c r="FCE499" s="97"/>
      <c r="FCF499" s="97"/>
      <c r="FCG499" s="97"/>
      <c r="FCH499" s="97"/>
      <c r="FCI499" s="97"/>
      <c r="FCJ499" s="97"/>
      <c r="FCK499" s="97"/>
      <c r="FCL499" s="97"/>
      <c r="FCN499" s="94"/>
      <c r="FCO499" s="94"/>
      <c r="FCP499" s="95"/>
      <c r="FCQ499" s="96"/>
      <c r="FCR499" s="97"/>
      <c r="FCS499" s="97"/>
      <c r="FCT499" s="97"/>
      <c r="FCU499" s="97"/>
      <c r="FCV499" s="97"/>
      <c r="FCW499" s="97"/>
      <c r="FCX499" s="97"/>
      <c r="FCY499" s="97"/>
      <c r="FDA499" s="94"/>
      <c r="FDB499" s="94"/>
      <c r="FDC499" s="95"/>
      <c r="FDD499" s="96"/>
      <c r="FDE499" s="97"/>
      <c r="FDF499" s="97"/>
      <c r="FDG499" s="97"/>
      <c r="FDH499" s="97"/>
      <c r="FDI499" s="97"/>
      <c r="FDJ499" s="97"/>
      <c r="FDK499" s="97"/>
      <c r="FDL499" s="97"/>
      <c r="FDN499" s="94"/>
      <c r="FDO499" s="94"/>
      <c r="FDP499" s="95"/>
      <c r="FDQ499" s="96"/>
      <c r="FDR499" s="97"/>
      <c r="FDS499" s="97"/>
      <c r="FDT499" s="97"/>
      <c r="FDU499" s="97"/>
      <c r="FDV499" s="97"/>
      <c r="FDW499" s="97"/>
      <c r="FDX499" s="97"/>
      <c r="FDY499" s="97"/>
      <c r="FEA499" s="94"/>
      <c r="FEB499" s="94"/>
      <c r="FEC499" s="95"/>
      <c r="FED499" s="96"/>
      <c r="FEE499" s="97"/>
      <c r="FEF499" s="97"/>
      <c r="FEG499" s="97"/>
      <c r="FEH499" s="97"/>
      <c r="FEI499" s="97"/>
      <c r="FEJ499" s="97"/>
      <c r="FEK499" s="97"/>
      <c r="FEL499" s="97"/>
      <c r="FEN499" s="94"/>
      <c r="FEO499" s="94"/>
      <c r="FEP499" s="95"/>
      <c r="FEQ499" s="96"/>
      <c r="FER499" s="97"/>
      <c r="FES499" s="97"/>
      <c r="FET499" s="97"/>
      <c r="FEU499" s="97"/>
      <c r="FEV499" s="97"/>
      <c r="FEW499" s="97"/>
      <c r="FEX499" s="97"/>
      <c r="FEY499" s="97"/>
      <c r="FFA499" s="94"/>
      <c r="FFB499" s="94"/>
      <c r="FFC499" s="95"/>
      <c r="FFD499" s="96"/>
      <c r="FFE499" s="97"/>
      <c r="FFF499" s="97"/>
      <c r="FFG499" s="97"/>
      <c r="FFH499" s="97"/>
      <c r="FFI499" s="97"/>
      <c r="FFJ499" s="97"/>
      <c r="FFK499" s="97"/>
      <c r="FFL499" s="97"/>
      <c r="FFN499" s="94"/>
      <c r="FFO499" s="94"/>
      <c r="FFP499" s="95"/>
      <c r="FFQ499" s="96"/>
      <c r="FFR499" s="97"/>
      <c r="FFS499" s="97"/>
      <c r="FFT499" s="97"/>
      <c r="FFU499" s="97"/>
      <c r="FFV499" s="97"/>
      <c r="FFW499" s="97"/>
      <c r="FFX499" s="97"/>
      <c r="FFY499" s="97"/>
      <c r="FGA499" s="94"/>
      <c r="FGB499" s="94"/>
      <c r="FGC499" s="95"/>
      <c r="FGD499" s="96"/>
      <c r="FGE499" s="97"/>
      <c r="FGF499" s="97"/>
      <c r="FGG499" s="97"/>
      <c r="FGH499" s="97"/>
      <c r="FGI499" s="97"/>
      <c r="FGJ499" s="97"/>
      <c r="FGK499" s="97"/>
      <c r="FGL499" s="97"/>
      <c r="FGN499" s="94"/>
      <c r="FGO499" s="94"/>
      <c r="FGP499" s="95"/>
      <c r="FGQ499" s="96"/>
      <c r="FGR499" s="97"/>
      <c r="FGS499" s="97"/>
      <c r="FGT499" s="97"/>
      <c r="FGU499" s="97"/>
      <c r="FGV499" s="97"/>
      <c r="FGW499" s="97"/>
      <c r="FGX499" s="97"/>
      <c r="FGY499" s="97"/>
      <c r="FHA499" s="94"/>
      <c r="FHB499" s="94"/>
      <c r="FHC499" s="95"/>
      <c r="FHD499" s="96"/>
      <c r="FHE499" s="97"/>
      <c r="FHF499" s="97"/>
      <c r="FHG499" s="97"/>
      <c r="FHH499" s="97"/>
      <c r="FHI499" s="97"/>
      <c r="FHJ499" s="97"/>
      <c r="FHK499" s="97"/>
      <c r="FHL499" s="97"/>
      <c r="FHN499" s="94"/>
      <c r="FHO499" s="94"/>
      <c r="FHP499" s="95"/>
      <c r="FHQ499" s="96"/>
      <c r="FHR499" s="97"/>
      <c r="FHS499" s="97"/>
      <c r="FHT499" s="97"/>
      <c r="FHU499" s="97"/>
      <c r="FHV499" s="97"/>
      <c r="FHW499" s="97"/>
      <c r="FHX499" s="97"/>
      <c r="FHY499" s="97"/>
      <c r="FIA499" s="94"/>
      <c r="FIB499" s="94"/>
      <c r="FIC499" s="95"/>
      <c r="FID499" s="96"/>
      <c r="FIE499" s="97"/>
      <c r="FIF499" s="97"/>
      <c r="FIG499" s="97"/>
      <c r="FIH499" s="97"/>
      <c r="FII499" s="97"/>
      <c r="FIJ499" s="97"/>
      <c r="FIK499" s="97"/>
      <c r="FIL499" s="97"/>
      <c r="FIN499" s="94"/>
      <c r="FIO499" s="94"/>
      <c r="FIP499" s="95"/>
      <c r="FIQ499" s="96"/>
      <c r="FIR499" s="97"/>
      <c r="FIS499" s="97"/>
      <c r="FIT499" s="97"/>
      <c r="FIU499" s="97"/>
      <c r="FIV499" s="97"/>
      <c r="FIW499" s="97"/>
      <c r="FIX499" s="97"/>
      <c r="FIY499" s="97"/>
      <c r="FJA499" s="94"/>
      <c r="FJB499" s="94"/>
      <c r="FJC499" s="95"/>
      <c r="FJD499" s="96"/>
      <c r="FJE499" s="97"/>
      <c r="FJF499" s="97"/>
      <c r="FJG499" s="97"/>
      <c r="FJH499" s="97"/>
      <c r="FJI499" s="97"/>
      <c r="FJJ499" s="97"/>
      <c r="FJK499" s="97"/>
      <c r="FJL499" s="97"/>
      <c r="FJN499" s="94"/>
      <c r="FJO499" s="94"/>
      <c r="FJP499" s="95"/>
      <c r="FJQ499" s="96"/>
      <c r="FJR499" s="97"/>
      <c r="FJS499" s="97"/>
      <c r="FJT499" s="97"/>
      <c r="FJU499" s="97"/>
      <c r="FJV499" s="97"/>
      <c r="FJW499" s="97"/>
      <c r="FJX499" s="97"/>
      <c r="FJY499" s="97"/>
      <c r="FKA499" s="94"/>
      <c r="FKB499" s="94"/>
      <c r="FKC499" s="95"/>
      <c r="FKD499" s="96"/>
      <c r="FKE499" s="97"/>
      <c r="FKF499" s="97"/>
      <c r="FKG499" s="97"/>
      <c r="FKH499" s="97"/>
      <c r="FKI499" s="97"/>
      <c r="FKJ499" s="97"/>
      <c r="FKK499" s="97"/>
      <c r="FKL499" s="97"/>
      <c r="FKN499" s="94"/>
      <c r="FKO499" s="94"/>
      <c r="FKP499" s="95"/>
      <c r="FKQ499" s="96"/>
      <c r="FKR499" s="97"/>
      <c r="FKS499" s="97"/>
      <c r="FKT499" s="97"/>
      <c r="FKU499" s="97"/>
      <c r="FKV499" s="97"/>
      <c r="FKW499" s="97"/>
      <c r="FKX499" s="97"/>
      <c r="FKY499" s="97"/>
      <c r="FLA499" s="94"/>
      <c r="FLB499" s="94"/>
      <c r="FLC499" s="95"/>
      <c r="FLD499" s="96"/>
      <c r="FLE499" s="97"/>
      <c r="FLF499" s="97"/>
      <c r="FLG499" s="97"/>
      <c r="FLH499" s="97"/>
      <c r="FLI499" s="97"/>
      <c r="FLJ499" s="97"/>
      <c r="FLK499" s="97"/>
      <c r="FLL499" s="97"/>
      <c r="FLN499" s="94"/>
      <c r="FLO499" s="94"/>
      <c r="FLP499" s="95"/>
      <c r="FLQ499" s="96"/>
      <c r="FLR499" s="97"/>
      <c r="FLS499" s="97"/>
      <c r="FLT499" s="97"/>
      <c r="FLU499" s="97"/>
      <c r="FLV499" s="97"/>
      <c r="FLW499" s="97"/>
      <c r="FLX499" s="97"/>
      <c r="FLY499" s="97"/>
      <c r="FMA499" s="94"/>
      <c r="FMB499" s="94"/>
      <c r="FMC499" s="95"/>
      <c r="FMD499" s="96"/>
      <c r="FME499" s="97"/>
      <c r="FMF499" s="97"/>
      <c r="FMG499" s="97"/>
      <c r="FMH499" s="97"/>
      <c r="FMI499" s="97"/>
      <c r="FMJ499" s="97"/>
      <c r="FMK499" s="97"/>
      <c r="FML499" s="97"/>
      <c r="FMN499" s="94"/>
      <c r="FMO499" s="94"/>
      <c r="FMP499" s="95"/>
      <c r="FMQ499" s="96"/>
      <c r="FMR499" s="97"/>
      <c r="FMS499" s="97"/>
      <c r="FMT499" s="97"/>
      <c r="FMU499" s="97"/>
      <c r="FMV499" s="97"/>
      <c r="FMW499" s="97"/>
      <c r="FMX499" s="97"/>
      <c r="FMY499" s="97"/>
      <c r="FNA499" s="94"/>
      <c r="FNB499" s="94"/>
      <c r="FNC499" s="95"/>
      <c r="FND499" s="96"/>
      <c r="FNE499" s="97"/>
      <c r="FNF499" s="97"/>
      <c r="FNG499" s="97"/>
      <c r="FNH499" s="97"/>
      <c r="FNI499" s="97"/>
      <c r="FNJ499" s="97"/>
      <c r="FNK499" s="97"/>
      <c r="FNL499" s="97"/>
      <c r="FNN499" s="94"/>
      <c r="FNO499" s="94"/>
      <c r="FNP499" s="95"/>
      <c r="FNQ499" s="96"/>
      <c r="FNR499" s="97"/>
      <c r="FNS499" s="97"/>
      <c r="FNT499" s="97"/>
      <c r="FNU499" s="97"/>
      <c r="FNV499" s="97"/>
      <c r="FNW499" s="97"/>
      <c r="FNX499" s="97"/>
      <c r="FNY499" s="97"/>
      <c r="FOA499" s="94"/>
      <c r="FOB499" s="94"/>
      <c r="FOC499" s="95"/>
      <c r="FOD499" s="96"/>
      <c r="FOE499" s="97"/>
      <c r="FOF499" s="97"/>
      <c r="FOG499" s="97"/>
      <c r="FOH499" s="97"/>
      <c r="FOI499" s="97"/>
      <c r="FOJ499" s="97"/>
      <c r="FOK499" s="97"/>
      <c r="FOL499" s="97"/>
      <c r="FON499" s="94"/>
      <c r="FOO499" s="94"/>
      <c r="FOP499" s="95"/>
      <c r="FOQ499" s="96"/>
      <c r="FOR499" s="97"/>
      <c r="FOS499" s="97"/>
      <c r="FOT499" s="97"/>
      <c r="FOU499" s="97"/>
      <c r="FOV499" s="97"/>
      <c r="FOW499" s="97"/>
      <c r="FOX499" s="97"/>
      <c r="FOY499" s="97"/>
      <c r="FPA499" s="94"/>
      <c r="FPB499" s="94"/>
      <c r="FPC499" s="95"/>
      <c r="FPD499" s="96"/>
      <c r="FPE499" s="97"/>
      <c r="FPF499" s="97"/>
      <c r="FPG499" s="97"/>
      <c r="FPH499" s="97"/>
      <c r="FPI499" s="97"/>
      <c r="FPJ499" s="97"/>
      <c r="FPK499" s="97"/>
      <c r="FPL499" s="97"/>
      <c r="FPN499" s="94"/>
      <c r="FPO499" s="94"/>
      <c r="FPP499" s="95"/>
      <c r="FPQ499" s="96"/>
      <c r="FPR499" s="97"/>
      <c r="FPS499" s="97"/>
      <c r="FPT499" s="97"/>
      <c r="FPU499" s="97"/>
      <c r="FPV499" s="97"/>
      <c r="FPW499" s="97"/>
      <c r="FPX499" s="97"/>
      <c r="FPY499" s="97"/>
      <c r="FQA499" s="94"/>
      <c r="FQB499" s="94"/>
      <c r="FQC499" s="95"/>
      <c r="FQD499" s="96"/>
      <c r="FQE499" s="97"/>
      <c r="FQF499" s="97"/>
      <c r="FQG499" s="97"/>
      <c r="FQH499" s="97"/>
      <c r="FQI499" s="97"/>
      <c r="FQJ499" s="97"/>
      <c r="FQK499" s="97"/>
      <c r="FQL499" s="97"/>
      <c r="FQN499" s="94"/>
      <c r="FQO499" s="94"/>
      <c r="FQP499" s="95"/>
      <c r="FQQ499" s="96"/>
      <c r="FQR499" s="97"/>
      <c r="FQS499" s="97"/>
      <c r="FQT499" s="97"/>
      <c r="FQU499" s="97"/>
      <c r="FQV499" s="97"/>
      <c r="FQW499" s="97"/>
      <c r="FQX499" s="97"/>
      <c r="FQY499" s="97"/>
      <c r="FRA499" s="94"/>
      <c r="FRB499" s="94"/>
      <c r="FRC499" s="95"/>
      <c r="FRD499" s="96"/>
      <c r="FRE499" s="97"/>
      <c r="FRF499" s="97"/>
      <c r="FRG499" s="97"/>
      <c r="FRH499" s="97"/>
      <c r="FRI499" s="97"/>
      <c r="FRJ499" s="97"/>
      <c r="FRK499" s="97"/>
      <c r="FRL499" s="97"/>
      <c r="FRN499" s="94"/>
      <c r="FRO499" s="94"/>
      <c r="FRP499" s="95"/>
      <c r="FRQ499" s="96"/>
      <c r="FRR499" s="97"/>
      <c r="FRS499" s="97"/>
      <c r="FRT499" s="97"/>
      <c r="FRU499" s="97"/>
      <c r="FRV499" s="97"/>
      <c r="FRW499" s="97"/>
      <c r="FRX499" s="97"/>
      <c r="FRY499" s="97"/>
      <c r="FSA499" s="94"/>
      <c r="FSB499" s="94"/>
      <c r="FSC499" s="95"/>
      <c r="FSD499" s="96"/>
      <c r="FSE499" s="97"/>
      <c r="FSF499" s="97"/>
      <c r="FSG499" s="97"/>
      <c r="FSH499" s="97"/>
      <c r="FSI499" s="97"/>
      <c r="FSJ499" s="97"/>
      <c r="FSK499" s="97"/>
      <c r="FSL499" s="97"/>
      <c r="FSN499" s="94"/>
      <c r="FSO499" s="94"/>
      <c r="FSP499" s="95"/>
      <c r="FSQ499" s="96"/>
      <c r="FSR499" s="97"/>
      <c r="FSS499" s="97"/>
      <c r="FST499" s="97"/>
      <c r="FSU499" s="97"/>
      <c r="FSV499" s="97"/>
      <c r="FSW499" s="97"/>
      <c r="FSX499" s="97"/>
      <c r="FSY499" s="97"/>
      <c r="FTA499" s="94"/>
      <c r="FTB499" s="94"/>
      <c r="FTC499" s="95"/>
      <c r="FTD499" s="96"/>
      <c r="FTE499" s="97"/>
      <c r="FTF499" s="97"/>
      <c r="FTG499" s="97"/>
      <c r="FTH499" s="97"/>
      <c r="FTI499" s="97"/>
      <c r="FTJ499" s="97"/>
      <c r="FTK499" s="97"/>
      <c r="FTL499" s="97"/>
      <c r="FTN499" s="94"/>
      <c r="FTO499" s="94"/>
      <c r="FTP499" s="95"/>
      <c r="FTQ499" s="96"/>
      <c r="FTR499" s="97"/>
      <c r="FTS499" s="97"/>
      <c r="FTT499" s="97"/>
      <c r="FTU499" s="97"/>
      <c r="FTV499" s="97"/>
      <c r="FTW499" s="97"/>
      <c r="FTX499" s="97"/>
      <c r="FTY499" s="97"/>
      <c r="FUA499" s="94"/>
      <c r="FUB499" s="94"/>
      <c r="FUC499" s="95"/>
      <c r="FUD499" s="96"/>
      <c r="FUE499" s="97"/>
      <c r="FUF499" s="97"/>
      <c r="FUG499" s="97"/>
      <c r="FUH499" s="97"/>
      <c r="FUI499" s="97"/>
      <c r="FUJ499" s="97"/>
      <c r="FUK499" s="97"/>
      <c r="FUL499" s="97"/>
      <c r="FUN499" s="94"/>
      <c r="FUO499" s="94"/>
      <c r="FUP499" s="95"/>
      <c r="FUQ499" s="96"/>
      <c r="FUR499" s="97"/>
      <c r="FUS499" s="97"/>
      <c r="FUT499" s="97"/>
      <c r="FUU499" s="97"/>
      <c r="FUV499" s="97"/>
      <c r="FUW499" s="97"/>
      <c r="FUX499" s="97"/>
      <c r="FUY499" s="97"/>
      <c r="FVA499" s="94"/>
      <c r="FVB499" s="94"/>
      <c r="FVC499" s="95"/>
      <c r="FVD499" s="96"/>
      <c r="FVE499" s="97"/>
      <c r="FVF499" s="97"/>
      <c r="FVG499" s="97"/>
      <c r="FVH499" s="97"/>
      <c r="FVI499" s="97"/>
      <c r="FVJ499" s="97"/>
      <c r="FVK499" s="97"/>
      <c r="FVL499" s="97"/>
      <c r="FVN499" s="94"/>
      <c r="FVO499" s="94"/>
      <c r="FVP499" s="95"/>
      <c r="FVQ499" s="96"/>
      <c r="FVR499" s="97"/>
      <c r="FVS499" s="97"/>
      <c r="FVT499" s="97"/>
      <c r="FVU499" s="97"/>
      <c r="FVV499" s="97"/>
      <c r="FVW499" s="97"/>
      <c r="FVX499" s="97"/>
      <c r="FVY499" s="97"/>
      <c r="FWA499" s="94"/>
      <c r="FWB499" s="94"/>
      <c r="FWC499" s="95"/>
      <c r="FWD499" s="96"/>
      <c r="FWE499" s="97"/>
      <c r="FWF499" s="97"/>
      <c r="FWG499" s="97"/>
      <c r="FWH499" s="97"/>
      <c r="FWI499" s="97"/>
      <c r="FWJ499" s="97"/>
      <c r="FWK499" s="97"/>
      <c r="FWL499" s="97"/>
      <c r="FWN499" s="94"/>
      <c r="FWO499" s="94"/>
      <c r="FWP499" s="95"/>
      <c r="FWQ499" s="96"/>
      <c r="FWR499" s="97"/>
      <c r="FWS499" s="97"/>
      <c r="FWT499" s="97"/>
      <c r="FWU499" s="97"/>
      <c r="FWV499" s="97"/>
      <c r="FWW499" s="97"/>
      <c r="FWX499" s="97"/>
      <c r="FWY499" s="97"/>
      <c r="FXA499" s="94"/>
      <c r="FXB499" s="94"/>
      <c r="FXC499" s="95"/>
      <c r="FXD499" s="96"/>
      <c r="FXE499" s="97"/>
      <c r="FXF499" s="97"/>
      <c r="FXG499" s="97"/>
      <c r="FXH499" s="97"/>
      <c r="FXI499" s="97"/>
      <c r="FXJ499" s="97"/>
      <c r="FXK499" s="97"/>
      <c r="FXL499" s="97"/>
      <c r="FXN499" s="94"/>
      <c r="FXO499" s="94"/>
      <c r="FXP499" s="95"/>
      <c r="FXQ499" s="96"/>
      <c r="FXR499" s="97"/>
      <c r="FXS499" s="97"/>
      <c r="FXT499" s="97"/>
      <c r="FXU499" s="97"/>
      <c r="FXV499" s="97"/>
      <c r="FXW499" s="97"/>
      <c r="FXX499" s="97"/>
      <c r="FXY499" s="97"/>
      <c r="FYA499" s="94"/>
      <c r="FYB499" s="94"/>
      <c r="FYC499" s="95"/>
      <c r="FYD499" s="96"/>
      <c r="FYE499" s="97"/>
      <c r="FYF499" s="97"/>
      <c r="FYG499" s="97"/>
      <c r="FYH499" s="97"/>
      <c r="FYI499" s="97"/>
      <c r="FYJ499" s="97"/>
      <c r="FYK499" s="97"/>
      <c r="FYL499" s="97"/>
      <c r="FYN499" s="94"/>
      <c r="FYO499" s="94"/>
      <c r="FYP499" s="95"/>
      <c r="FYQ499" s="96"/>
      <c r="FYR499" s="97"/>
      <c r="FYS499" s="97"/>
      <c r="FYT499" s="97"/>
      <c r="FYU499" s="97"/>
      <c r="FYV499" s="97"/>
      <c r="FYW499" s="97"/>
      <c r="FYX499" s="97"/>
      <c r="FYY499" s="97"/>
      <c r="FZA499" s="94"/>
      <c r="FZB499" s="94"/>
      <c r="FZC499" s="95"/>
      <c r="FZD499" s="96"/>
      <c r="FZE499" s="97"/>
      <c r="FZF499" s="97"/>
      <c r="FZG499" s="97"/>
      <c r="FZH499" s="97"/>
      <c r="FZI499" s="97"/>
      <c r="FZJ499" s="97"/>
      <c r="FZK499" s="97"/>
      <c r="FZL499" s="97"/>
      <c r="FZN499" s="94"/>
      <c r="FZO499" s="94"/>
      <c r="FZP499" s="95"/>
      <c r="FZQ499" s="96"/>
      <c r="FZR499" s="97"/>
      <c r="FZS499" s="97"/>
      <c r="FZT499" s="97"/>
      <c r="FZU499" s="97"/>
      <c r="FZV499" s="97"/>
      <c r="FZW499" s="97"/>
      <c r="FZX499" s="97"/>
      <c r="FZY499" s="97"/>
      <c r="GAA499" s="94"/>
      <c r="GAB499" s="94"/>
      <c r="GAC499" s="95"/>
      <c r="GAD499" s="96"/>
      <c r="GAE499" s="97"/>
      <c r="GAF499" s="97"/>
      <c r="GAG499" s="97"/>
      <c r="GAH499" s="97"/>
      <c r="GAI499" s="97"/>
      <c r="GAJ499" s="97"/>
      <c r="GAK499" s="97"/>
      <c r="GAL499" s="97"/>
      <c r="GAN499" s="94"/>
      <c r="GAO499" s="94"/>
      <c r="GAP499" s="95"/>
      <c r="GAQ499" s="96"/>
      <c r="GAR499" s="97"/>
      <c r="GAS499" s="97"/>
      <c r="GAT499" s="97"/>
      <c r="GAU499" s="97"/>
      <c r="GAV499" s="97"/>
      <c r="GAW499" s="97"/>
      <c r="GAX499" s="97"/>
      <c r="GAY499" s="97"/>
      <c r="GBA499" s="94"/>
      <c r="GBB499" s="94"/>
      <c r="GBC499" s="95"/>
      <c r="GBD499" s="96"/>
      <c r="GBE499" s="97"/>
      <c r="GBF499" s="97"/>
      <c r="GBG499" s="97"/>
      <c r="GBH499" s="97"/>
      <c r="GBI499" s="97"/>
      <c r="GBJ499" s="97"/>
      <c r="GBK499" s="97"/>
      <c r="GBL499" s="97"/>
      <c r="GBN499" s="94"/>
      <c r="GBO499" s="94"/>
      <c r="GBP499" s="95"/>
      <c r="GBQ499" s="96"/>
      <c r="GBR499" s="97"/>
      <c r="GBS499" s="97"/>
      <c r="GBT499" s="97"/>
      <c r="GBU499" s="97"/>
      <c r="GBV499" s="97"/>
      <c r="GBW499" s="97"/>
      <c r="GBX499" s="97"/>
      <c r="GBY499" s="97"/>
      <c r="GCA499" s="94"/>
      <c r="GCB499" s="94"/>
      <c r="GCC499" s="95"/>
      <c r="GCD499" s="96"/>
      <c r="GCE499" s="97"/>
      <c r="GCF499" s="97"/>
      <c r="GCG499" s="97"/>
      <c r="GCH499" s="97"/>
      <c r="GCI499" s="97"/>
      <c r="GCJ499" s="97"/>
      <c r="GCK499" s="97"/>
      <c r="GCL499" s="97"/>
      <c r="GCN499" s="94"/>
      <c r="GCO499" s="94"/>
      <c r="GCP499" s="95"/>
      <c r="GCQ499" s="96"/>
      <c r="GCR499" s="97"/>
      <c r="GCS499" s="97"/>
      <c r="GCT499" s="97"/>
      <c r="GCU499" s="97"/>
      <c r="GCV499" s="97"/>
      <c r="GCW499" s="97"/>
      <c r="GCX499" s="97"/>
      <c r="GCY499" s="97"/>
      <c r="GDA499" s="94"/>
      <c r="GDB499" s="94"/>
      <c r="GDC499" s="95"/>
      <c r="GDD499" s="96"/>
      <c r="GDE499" s="97"/>
      <c r="GDF499" s="97"/>
      <c r="GDG499" s="97"/>
      <c r="GDH499" s="97"/>
      <c r="GDI499" s="97"/>
      <c r="GDJ499" s="97"/>
      <c r="GDK499" s="97"/>
      <c r="GDL499" s="97"/>
      <c r="GDN499" s="94"/>
      <c r="GDO499" s="94"/>
      <c r="GDP499" s="95"/>
      <c r="GDQ499" s="96"/>
      <c r="GDR499" s="97"/>
      <c r="GDS499" s="97"/>
      <c r="GDT499" s="97"/>
      <c r="GDU499" s="97"/>
      <c r="GDV499" s="97"/>
      <c r="GDW499" s="97"/>
      <c r="GDX499" s="97"/>
      <c r="GDY499" s="97"/>
      <c r="GEA499" s="94"/>
      <c r="GEB499" s="94"/>
      <c r="GEC499" s="95"/>
      <c r="GED499" s="96"/>
      <c r="GEE499" s="97"/>
      <c r="GEF499" s="97"/>
      <c r="GEG499" s="97"/>
      <c r="GEH499" s="97"/>
      <c r="GEI499" s="97"/>
      <c r="GEJ499" s="97"/>
      <c r="GEK499" s="97"/>
      <c r="GEL499" s="97"/>
      <c r="GEN499" s="94"/>
      <c r="GEO499" s="94"/>
      <c r="GEP499" s="95"/>
      <c r="GEQ499" s="96"/>
      <c r="GER499" s="97"/>
      <c r="GES499" s="97"/>
      <c r="GET499" s="97"/>
      <c r="GEU499" s="97"/>
      <c r="GEV499" s="97"/>
      <c r="GEW499" s="97"/>
      <c r="GEX499" s="97"/>
      <c r="GEY499" s="97"/>
      <c r="GFA499" s="94"/>
      <c r="GFB499" s="94"/>
      <c r="GFC499" s="95"/>
      <c r="GFD499" s="96"/>
      <c r="GFE499" s="97"/>
      <c r="GFF499" s="97"/>
      <c r="GFG499" s="97"/>
      <c r="GFH499" s="97"/>
      <c r="GFI499" s="97"/>
      <c r="GFJ499" s="97"/>
      <c r="GFK499" s="97"/>
      <c r="GFL499" s="97"/>
      <c r="GFN499" s="94"/>
      <c r="GFO499" s="94"/>
      <c r="GFP499" s="95"/>
      <c r="GFQ499" s="96"/>
      <c r="GFR499" s="97"/>
      <c r="GFS499" s="97"/>
      <c r="GFT499" s="97"/>
      <c r="GFU499" s="97"/>
      <c r="GFV499" s="97"/>
      <c r="GFW499" s="97"/>
      <c r="GFX499" s="97"/>
      <c r="GFY499" s="97"/>
      <c r="GGA499" s="94"/>
      <c r="GGB499" s="94"/>
      <c r="GGC499" s="95"/>
      <c r="GGD499" s="96"/>
      <c r="GGE499" s="97"/>
      <c r="GGF499" s="97"/>
      <c r="GGG499" s="97"/>
      <c r="GGH499" s="97"/>
      <c r="GGI499" s="97"/>
      <c r="GGJ499" s="97"/>
      <c r="GGK499" s="97"/>
      <c r="GGL499" s="97"/>
      <c r="GGN499" s="94"/>
      <c r="GGO499" s="94"/>
      <c r="GGP499" s="95"/>
      <c r="GGQ499" s="96"/>
      <c r="GGR499" s="97"/>
      <c r="GGS499" s="97"/>
      <c r="GGT499" s="97"/>
      <c r="GGU499" s="97"/>
      <c r="GGV499" s="97"/>
      <c r="GGW499" s="97"/>
      <c r="GGX499" s="97"/>
      <c r="GGY499" s="97"/>
      <c r="GHA499" s="94"/>
      <c r="GHB499" s="94"/>
      <c r="GHC499" s="95"/>
      <c r="GHD499" s="96"/>
      <c r="GHE499" s="97"/>
      <c r="GHF499" s="97"/>
      <c r="GHG499" s="97"/>
      <c r="GHH499" s="97"/>
      <c r="GHI499" s="97"/>
      <c r="GHJ499" s="97"/>
      <c r="GHK499" s="97"/>
      <c r="GHL499" s="97"/>
      <c r="GHN499" s="94"/>
      <c r="GHO499" s="94"/>
      <c r="GHP499" s="95"/>
      <c r="GHQ499" s="96"/>
      <c r="GHR499" s="97"/>
      <c r="GHS499" s="97"/>
      <c r="GHT499" s="97"/>
      <c r="GHU499" s="97"/>
      <c r="GHV499" s="97"/>
      <c r="GHW499" s="97"/>
      <c r="GHX499" s="97"/>
      <c r="GHY499" s="97"/>
      <c r="GIA499" s="94"/>
      <c r="GIB499" s="94"/>
      <c r="GIC499" s="95"/>
      <c r="GID499" s="96"/>
      <c r="GIE499" s="97"/>
      <c r="GIF499" s="97"/>
      <c r="GIG499" s="97"/>
      <c r="GIH499" s="97"/>
      <c r="GII499" s="97"/>
      <c r="GIJ499" s="97"/>
      <c r="GIK499" s="97"/>
      <c r="GIL499" s="97"/>
      <c r="GIN499" s="94"/>
      <c r="GIO499" s="94"/>
      <c r="GIP499" s="95"/>
      <c r="GIQ499" s="96"/>
      <c r="GIR499" s="97"/>
      <c r="GIS499" s="97"/>
      <c r="GIT499" s="97"/>
      <c r="GIU499" s="97"/>
      <c r="GIV499" s="97"/>
      <c r="GIW499" s="97"/>
      <c r="GIX499" s="97"/>
      <c r="GIY499" s="97"/>
      <c r="GJA499" s="94"/>
      <c r="GJB499" s="94"/>
      <c r="GJC499" s="95"/>
      <c r="GJD499" s="96"/>
      <c r="GJE499" s="97"/>
      <c r="GJF499" s="97"/>
      <c r="GJG499" s="97"/>
      <c r="GJH499" s="97"/>
      <c r="GJI499" s="97"/>
      <c r="GJJ499" s="97"/>
      <c r="GJK499" s="97"/>
      <c r="GJL499" s="97"/>
      <c r="GJN499" s="94"/>
      <c r="GJO499" s="94"/>
      <c r="GJP499" s="95"/>
      <c r="GJQ499" s="96"/>
      <c r="GJR499" s="97"/>
      <c r="GJS499" s="97"/>
      <c r="GJT499" s="97"/>
      <c r="GJU499" s="97"/>
      <c r="GJV499" s="97"/>
      <c r="GJW499" s="97"/>
      <c r="GJX499" s="97"/>
      <c r="GJY499" s="97"/>
      <c r="GKA499" s="94"/>
      <c r="GKB499" s="94"/>
      <c r="GKC499" s="95"/>
      <c r="GKD499" s="96"/>
      <c r="GKE499" s="97"/>
      <c r="GKF499" s="97"/>
      <c r="GKG499" s="97"/>
      <c r="GKH499" s="97"/>
      <c r="GKI499" s="97"/>
      <c r="GKJ499" s="97"/>
      <c r="GKK499" s="97"/>
      <c r="GKL499" s="97"/>
      <c r="GKN499" s="94"/>
      <c r="GKO499" s="94"/>
      <c r="GKP499" s="95"/>
      <c r="GKQ499" s="96"/>
      <c r="GKR499" s="97"/>
      <c r="GKS499" s="97"/>
      <c r="GKT499" s="97"/>
      <c r="GKU499" s="97"/>
      <c r="GKV499" s="97"/>
      <c r="GKW499" s="97"/>
      <c r="GKX499" s="97"/>
      <c r="GKY499" s="97"/>
      <c r="GLA499" s="94"/>
      <c r="GLB499" s="94"/>
      <c r="GLC499" s="95"/>
      <c r="GLD499" s="96"/>
      <c r="GLE499" s="97"/>
      <c r="GLF499" s="97"/>
      <c r="GLG499" s="97"/>
      <c r="GLH499" s="97"/>
      <c r="GLI499" s="97"/>
      <c r="GLJ499" s="97"/>
      <c r="GLK499" s="97"/>
      <c r="GLL499" s="97"/>
      <c r="GLN499" s="94"/>
      <c r="GLO499" s="94"/>
      <c r="GLP499" s="95"/>
      <c r="GLQ499" s="96"/>
      <c r="GLR499" s="97"/>
      <c r="GLS499" s="97"/>
      <c r="GLT499" s="97"/>
      <c r="GLU499" s="97"/>
      <c r="GLV499" s="97"/>
      <c r="GLW499" s="97"/>
      <c r="GLX499" s="97"/>
      <c r="GLY499" s="97"/>
      <c r="GMA499" s="94"/>
      <c r="GMB499" s="94"/>
      <c r="GMC499" s="95"/>
      <c r="GMD499" s="96"/>
      <c r="GME499" s="97"/>
      <c r="GMF499" s="97"/>
      <c r="GMG499" s="97"/>
      <c r="GMH499" s="97"/>
      <c r="GMI499" s="97"/>
      <c r="GMJ499" s="97"/>
      <c r="GMK499" s="97"/>
      <c r="GML499" s="97"/>
      <c r="GMN499" s="94"/>
      <c r="GMO499" s="94"/>
      <c r="GMP499" s="95"/>
      <c r="GMQ499" s="96"/>
      <c r="GMR499" s="97"/>
      <c r="GMS499" s="97"/>
      <c r="GMT499" s="97"/>
      <c r="GMU499" s="97"/>
      <c r="GMV499" s="97"/>
      <c r="GMW499" s="97"/>
      <c r="GMX499" s="97"/>
      <c r="GMY499" s="97"/>
      <c r="GNA499" s="94"/>
      <c r="GNB499" s="94"/>
      <c r="GNC499" s="95"/>
      <c r="GND499" s="96"/>
      <c r="GNE499" s="97"/>
      <c r="GNF499" s="97"/>
      <c r="GNG499" s="97"/>
      <c r="GNH499" s="97"/>
      <c r="GNI499" s="97"/>
      <c r="GNJ499" s="97"/>
      <c r="GNK499" s="97"/>
      <c r="GNL499" s="97"/>
      <c r="GNN499" s="94"/>
      <c r="GNO499" s="94"/>
      <c r="GNP499" s="95"/>
      <c r="GNQ499" s="96"/>
      <c r="GNR499" s="97"/>
      <c r="GNS499" s="97"/>
      <c r="GNT499" s="97"/>
      <c r="GNU499" s="97"/>
      <c r="GNV499" s="97"/>
      <c r="GNW499" s="97"/>
      <c r="GNX499" s="97"/>
      <c r="GNY499" s="97"/>
      <c r="GOA499" s="94"/>
      <c r="GOB499" s="94"/>
      <c r="GOC499" s="95"/>
      <c r="GOD499" s="96"/>
      <c r="GOE499" s="97"/>
      <c r="GOF499" s="97"/>
      <c r="GOG499" s="97"/>
      <c r="GOH499" s="97"/>
      <c r="GOI499" s="97"/>
      <c r="GOJ499" s="97"/>
      <c r="GOK499" s="97"/>
      <c r="GOL499" s="97"/>
      <c r="GON499" s="94"/>
      <c r="GOO499" s="94"/>
      <c r="GOP499" s="95"/>
      <c r="GOQ499" s="96"/>
      <c r="GOR499" s="97"/>
      <c r="GOS499" s="97"/>
      <c r="GOT499" s="97"/>
      <c r="GOU499" s="97"/>
      <c r="GOV499" s="97"/>
      <c r="GOW499" s="97"/>
      <c r="GOX499" s="97"/>
      <c r="GOY499" s="97"/>
      <c r="GPA499" s="94"/>
      <c r="GPB499" s="94"/>
      <c r="GPC499" s="95"/>
      <c r="GPD499" s="96"/>
      <c r="GPE499" s="97"/>
      <c r="GPF499" s="97"/>
      <c r="GPG499" s="97"/>
      <c r="GPH499" s="97"/>
      <c r="GPI499" s="97"/>
      <c r="GPJ499" s="97"/>
      <c r="GPK499" s="97"/>
      <c r="GPL499" s="97"/>
      <c r="GPN499" s="94"/>
      <c r="GPO499" s="94"/>
      <c r="GPP499" s="95"/>
      <c r="GPQ499" s="96"/>
      <c r="GPR499" s="97"/>
      <c r="GPS499" s="97"/>
      <c r="GPT499" s="97"/>
      <c r="GPU499" s="97"/>
      <c r="GPV499" s="97"/>
      <c r="GPW499" s="97"/>
      <c r="GPX499" s="97"/>
      <c r="GPY499" s="97"/>
      <c r="GQA499" s="94"/>
      <c r="GQB499" s="94"/>
      <c r="GQC499" s="95"/>
      <c r="GQD499" s="96"/>
      <c r="GQE499" s="97"/>
      <c r="GQF499" s="97"/>
      <c r="GQG499" s="97"/>
      <c r="GQH499" s="97"/>
      <c r="GQI499" s="97"/>
      <c r="GQJ499" s="97"/>
      <c r="GQK499" s="97"/>
      <c r="GQL499" s="97"/>
      <c r="GQN499" s="94"/>
      <c r="GQO499" s="94"/>
      <c r="GQP499" s="95"/>
      <c r="GQQ499" s="96"/>
      <c r="GQR499" s="97"/>
      <c r="GQS499" s="97"/>
      <c r="GQT499" s="97"/>
      <c r="GQU499" s="97"/>
      <c r="GQV499" s="97"/>
      <c r="GQW499" s="97"/>
      <c r="GQX499" s="97"/>
      <c r="GQY499" s="97"/>
      <c r="GRA499" s="94"/>
      <c r="GRB499" s="94"/>
      <c r="GRC499" s="95"/>
      <c r="GRD499" s="96"/>
      <c r="GRE499" s="97"/>
      <c r="GRF499" s="97"/>
      <c r="GRG499" s="97"/>
      <c r="GRH499" s="97"/>
      <c r="GRI499" s="97"/>
      <c r="GRJ499" s="97"/>
      <c r="GRK499" s="97"/>
      <c r="GRL499" s="97"/>
      <c r="GRN499" s="94"/>
      <c r="GRO499" s="94"/>
      <c r="GRP499" s="95"/>
      <c r="GRQ499" s="96"/>
      <c r="GRR499" s="97"/>
      <c r="GRS499" s="97"/>
      <c r="GRT499" s="97"/>
      <c r="GRU499" s="97"/>
      <c r="GRV499" s="97"/>
      <c r="GRW499" s="97"/>
      <c r="GRX499" s="97"/>
      <c r="GRY499" s="97"/>
      <c r="GSA499" s="94"/>
      <c r="GSB499" s="94"/>
      <c r="GSC499" s="95"/>
      <c r="GSD499" s="96"/>
      <c r="GSE499" s="97"/>
      <c r="GSF499" s="97"/>
      <c r="GSG499" s="97"/>
      <c r="GSH499" s="97"/>
      <c r="GSI499" s="97"/>
      <c r="GSJ499" s="97"/>
      <c r="GSK499" s="97"/>
      <c r="GSL499" s="97"/>
      <c r="GSN499" s="94"/>
      <c r="GSO499" s="94"/>
      <c r="GSP499" s="95"/>
      <c r="GSQ499" s="96"/>
      <c r="GSR499" s="97"/>
      <c r="GSS499" s="97"/>
      <c r="GST499" s="97"/>
      <c r="GSU499" s="97"/>
      <c r="GSV499" s="97"/>
      <c r="GSW499" s="97"/>
      <c r="GSX499" s="97"/>
      <c r="GSY499" s="97"/>
      <c r="GTA499" s="94"/>
      <c r="GTB499" s="94"/>
      <c r="GTC499" s="95"/>
      <c r="GTD499" s="96"/>
      <c r="GTE499" s="97"/>
      <c r="GTF499" s="97"/>
      <c r="GTG499" s="97"/>
      <c r="GTH499" s="97"/>
      <c r="GTI499" s="97"/>
      <c r="GTJ499" s="97"/>
      <c r="GTK499" s="97"/>
      <c r="GTL499" s="97"/>
      <c r="GTN499" s="94"/>
      <c r="GTO499" s="94"/>
      <c r="GTP499" s="95"/>
      <c r="GTQ499" s="96"/>
      <c r="GTR499" s="97"/>
      <c r="GTS499" s="97"/>
      <c r="GTT499" s="97"/>
      <c r="GTU499" s="97"/>
      <c r="GTV499" s="97"/>
      <c r="GTW499" s="97"/>
      <c r="GTX499" s="97"/>
      <c r="GTY499" s="97"/>
      <c r="GUA499" s="94"/>
      <c r="GUB499" s="94"/>
      <c r="GUC499" s="95"/>
      <c r="GUD499" s="96"/>
      <c r="GUE499" s="97"/>
      <c r="GUF499" s="97"/>
      <c r="GUG499" s="97"/>
      <c r="GUH499" s="97"/>
      <c r="GUI499" s="97"/>
      <c r="GUJ499" s="97"/>
      <c r="GUK499" s="97"/>
      <c r="GUL499" s="97"/>
      <c r="GUN499" s="94"/>
      <c r="GUO499" s="94"/>
      <c r="GUP499" s="95"/>
      <c r="GUQ499" s="96"/>
      <c r="GUR499" s="97"/>
      <c r="GUS499" s="97"/>
      <c r="GUT499" s="97"/>
      <c r="GUU499" s="97"/>
      <c r="GUV499" s="97"/>
      <c r="GUW499" s="97"/>
      <c r="GUX499" s="97"/>
      <c r="GUY499" s="97"/>
      <c r="GVA499" s="94"/>
      <c r="GVB499" s="94"/>
      <c r="GVC499" s="95"/>
      <c r="GVD499" s="96"/>
      <c r="GVE499" s="97"/>
      <c r="GVF499" s="97"/>
      <c r="GVG499" s="97"/>
      <c r="GVH499" s="97"/>
      <c r="GVI499" s="97"/>
      <c r="GVJ499" s="97"/>
      <c r="GVK499" s="97"/>
      <c r="GVL499" s="97"/>
      <c r="GVN499" s="94"/>
      <c r="GVO499" s="94"/>
      <c r="GVP499" s="95"/>
      <c r="GVQ499" s="96"/>
      <c r="GVR499" s="97"/>
      <c r="GVS499" s="97"/>
      <c r="GVT499" s="97"/>
      <c r="GVU499" s="97"/>
      <c r="GVV499" s="97"/>
      <c r="GVW499" s="97"/>
      <c r="GVX499" s="97"/>
      <c r="GVY499" s="97"/>
      <c r="GWA499" s="94"/>
      <c r="GWB499" s="94"/>
      <c r="GWC499" s="95"/>
      <c r="GWD499" s="96"/>
      <c r="GWE499" s="97"/>
      <c r="GWF499" s="97"/>
      <c r="GWG499" s="97"/>
      <c r="GWH499" s="97"/>
      <c r="GWI499" s="97"/>
      <c r="GWJ499" s="97"/>
      <c r="GWK499" s="97"/>
      <c r="GWL499" s="97"/>
      <c r="GWN499" s="94"/>
      <c r="GWO499" s="94"/>
      <c r="GWP499" s="95"/>
      <c r="GWQ499" s="96"/>
      <c r="GWR499" s="97"/>
      <c r="GWS499" s="97"/>
      <c r="GWT499" s="97"/>
      <c r="GWU499" s="97"/>
      <c r="GWV499" s="97"/>
      <c r="GWW499" s="97"/>
      <c r="GWX499" s="97"/>
      <c r="GWY499" s="97"/>
      <c r="GXA499" s="94"/>
      <c r="GXB499" s="94"/>
      <c r="GXC499" s="95"/>
      <c r="GXD499" s="96"/>
      <c r="GXE499" s="97"/>
      <c r="GXF499" s="97"/>
      <c r="GXG499" s="97"/>
      <c r="GXH499" s="97"/>
      <c r="GXI499" s="97"/>
      <c r="GXJ499" s="97"/>
      <c r="GXK499" s="97"/>
      <c r="GXL499" s="97"/>
      <c r="GXN499" s="94"/>
      <c r="GXO499" s="94"/>
      <c r="GXP499" s="95"/>
      <c r="GXQ499" s="96"/>
      <c r="GXR499" s="97"/>
      <c r="GXS499" s="97"/>
      <c r="GXT499" s="97"/>
      <c r="GXU499" s="97"/>
      <c r="GXV499" s="97"/>
      <c r="GXW499" s="97"/>
      <c r="GXX499" s="97"/>
      <c r="GXY499" s="97"/>
      <c r="GYA499" s="94"/>
      <c r="GYB499" s="94"/>
      <c r="GYC499" s="95"/>
      <c r="GYD499" s="96"/>
      <c r="GYE499" s="97"/>
      <c r="GYF499" s="97"/>
      <c r="GYG499" s="97"/>
      <c r="GYH499" s="97"/>
      <c r="GYI499" s="97"/>
      <c r="GYJ499" s="97"/>
      <c r="GYK499" s="97"/>
      <c r="GYL499" s="97"/>
      <c r="GYN499" s="94"/>
      <c r="GYO499" s="94"/>
      <c r="GYP499" s="95"/>
      <c r="GYQ499" s="96"/>
      <c r="GYR499" s="97"/>
      <c r="GYS499" s="97"/>
      <c r="GYT499" s="97"/>
      <c r="GYU499" s="97"/>
      <c r="GYV499" s="97"/>
      <c r="GYW499" s="97"/>
      <c r="GYX499" s="97"/>
      <c r="GYY499" s="97"/>
      <c r="GZA499" s="94"/>
      <c r="GZB499" s="94"/>
      <c r="GZC499" s="95"/>
      <c r="GZD499" s="96"/>
      <c r="GZE499" s="97"/>
      <c r="GZF499" s="97"/>
      <c r="GZG499" s="97"/>
      <c r="GZH499" s="97"/>
      <c r="GZI499" s="97"/>
      <c r="GZJ499" s="97"/>
      <c r="GZK499" s="97"/>
      <c r="GZL499" s="97"/>
      <c r="GZN499" s="94"/>
      <c r="GZO499" s="94"/>
      <c r="GZP499" s="95"/>
      <c r="GZQ499" s="96"/>
      <c r="GZR499" s="97"/>
      <c r="GZS499" s="97"/>
      <c r="GZT499" s="97"/>
      <c r="GZU499" s="97"/>
      <c r="GZV499" s="97"/>
      <c r="GZW499" s="97"/>
      <c r="GZX499" s="97"/>
      <c r="GZY499" s="97"/>
      <c r="HAA499" s="94"/>
      <c r="HAB499" s="94"/>
      <c r="HAC499" s="95"/>
      <c r="HAD499" s="96"/>
      <c r="HAE499" s="97"/>
      <c r="HAF499" s="97"/>
      <c r="HAG499" s="97"/>
      <c r="HAH499" s="97"/>
      <c r="HAI499" s="97"/>
      <c r="HAJ499" s="97"/>
      <c r="HAK499" s="97"/>
      <c r="HAL499" s="97"/>
      <c r="HAN499" s="94"/>
      <c r="HAO499" s="94"/>
      <c r="HAP499" s="95"/>
      <c r="HAQ499" s="96"/>
      <c r="HAR499" s="97"/>
      <c r="HAS499" s="97"/>
      <c r="HAT499" s="97"/>
      <c r="HAU499" s="97"/>
      <c r="HAV499" s="97"/>
      <c r="HAW499" s="97"/>
      <c r="HAX499" s="97"/>
      <c r="HAY499" s="97"/>
      <c r="HBA499" s="94"/>
      <c r="HBB499" s="94"/>
      <c r="HBC499" s="95"/>
      <c r="HBD499" s="96"/>
      <c r="HBE499" s="97"/>
      <c r="HBF499" s="97"/>
      <c r="HBG499" s="97"/>
      <c r="HBH499" s="97"/>
      <c r="HBI499" s="97"/>
      <c r="HBJ499" s="97"/>
      <c r="HBK499" s="97"/>
      <c r="HBL499" s="97"/>
      <c r="HBN499" s="94"/>
      <c r="HBO499" s="94"/>
      <c r="HBP499" s="95"/>
      <c r="HBQ499" s="96"/>
      <c r="HBR499" s="97"/>
      <c r="HBS499" s="97"/>
      <c r="HBT499" s="97"/>
      <c r="HBU499" s="97"/>
      <c r="HBV499" s="97"/>
      <c r="HBW499" s="97"/>
      <c r="HBX499" s="97"/>
      <c r="HBY499" s="97"/>
      <c r="HCA499" s="94"/>
      <c r="HCB499" s="94"/>
      <c r="HCC499" s="95"/>
      <c r="HCD499" s="96"/>
      <c r="HCE499" s="97"/>
      <c r="HCF499" s="97"/>
      <c r="HCG499" s="97"/>
      <c r="HCH499" s="97"/>
      <c r="HCI499" s="97"/>
      <c r="HCJ499" s="97"/>
      <c r="HCK499" s="97"/>
      <c r="HCL499" s="97"/>
      <c r="HCN499" s="94"/>
      <c r="HCO499" s="94"/>
      <c r="HCP499" s="95"/>
      <c r="HCQ499" s="96"/>
      <c r="HCR499" s="97"/>
      <c r="HCS499" s="97"/>
      <c r="HCT499" s="97"/>
      <c r="HCU499" s="97"/>
      <c r="HCV499" s="97"/>
      <c r="HCW499" s="97"/>
      <c r="HCX499" s="97"/>
      <c r="HCY499" s="97"/>
      <c r="HDA499" s="94"/>
      <c r="HDB499" s="94"/>
      <c r="HDC499" s="95"/>
      <c r="HDD499" s="96"/>
      <c r="HDE499" s="97"/>
      <c r="HDF499" s="97"/>
      <c r="HDG499" s="97"/>
      <c r="HDH499" s="97"/>
      <c r="HDI499" s="97"/>
      <c r="HDJ499" s="97"/>
      <c r="HDK499" s="97"/>
      <c r="HDL499" s="97"/>
      <c r="HDN499" s="94"/>
      <c r="HDO499" s="94"/>
      <c r="HDP499" s="95"/>
      <c r="HDQ499" s="96"/>
      <c r="HDR499" s="97"/>
      <c r="HDS499" s="97"/>
      <c r="HDT499" s="97"/>
      <c r="HDU499" s="97"/>
      <c r="HDV499" s="97"/>
      <c r="HDW499" s="97"/>
      <c r="HDX499" s="97"/>
      <c r="HDY499" s="97"/>
      <c r="HEA499" s="94"/>
      <c r="HEB499" s="94"/>
      <c r="HEC499" s="95"/>
      <c r="HED499" s="96"/>
      <c r="HEE499" s="97"/>
      <c r="HEF499" s="97"/>
      <c r="HEG499" s="97"/>
      <c r="HEH499" s="97"/>
      <c r="HEI499" s="97"/>
      <c r="HEJ499" s="97"/>
      <c r="HEK499" s="97"/>
      <c r="HEL499" s="97"/>
      <c r="HEN499" s="94"/>
      <c r="HEO499" s="94"/>
      <c r="HEP499" s="95"/>
      <c r="HEQ499" s="96"/>
      <c r="HER499" s="97"/>
      <c r="HES499" s="97"/>
      <c r="HET499" s="97"/>
      <c r="HEU499" s="97"/>
      <c r="HEV499" s="97"/>
      <c r="HEW499" s="97"/>
      <c r="HEX499" s="97"/>
      <c r="HEY499" s="97"/>
      <c r="HFA499" s="94"/>
      <c r="HFB499" s="94"/>
      <c r="HFC499" s="95"/>
      <c r="HFD499" s="96"/>
      <c r="HFE499" s="97"/>
      <c r="HFF499" s="97"/>
      <c r="HFG499" s="97"/>
      <c r="HFH499" s="97"/>
      <c r="HFI499" s="97"/>
      <c r="HFJ499" s="97"/>
      <c r="HFK499" s="97"/>
      <c r="HFL499" s="97"/>
      <c r="HFN499" s="94"/>
      <c r="HFO499" s="94"/>
      <c r="HFP499" s="95"/>
      <c r="HFQ499" s="96"/>
      <c r="HFR499" s="97"/>
      <c r="HFS499" s="97"/>
      <c r="HFT499" s="97"/>
      <c r="HFU499" s="97"/>
      <c r="HFV499" s="97"/>
      <c r="HFW499" s="97"/>
      <c r="HFX499" s="97"/>
      <c r="HFY499" s="97"/>
      <c r="HGA499" s="94"/>
      <c r="HGB499" s="94"/>
      <c r="HGC499" s="95"/>
      <c r="HGD499" s="96"/>
      <c r="HGE499" s="97"/>
      <c r="HGF499" s="97"/>
      <c r="HGG499" s="97"/>
      <c r="HGH499" s="97"/>
      <c r="HGI499" s="97"/>
      <c r="HGJ499" s="97"/>
      <c r="HGK499" s="97"/>
      <c r="HGL499" s="97"/>
      <c r="HGN499" s="94"/>
      <c r="HGO499" s="94"/>
      <c r="HGP499" s="95"/>
      <c r="HGQ499" s="96"/>
      <c r="HGR499" s="97"/>
      <c r="HGS499" s="97"/>
      <c r="HGT499" s="97"/>
      <c r="HGU499" s="97"/>
      <c r="HGV499" s="97"/>
      <c r="HGW499" s="97"/>
      <c r="HGX499" s="97"/>
      <c r="HGY499" s="97"/>
      <c r="HHA499" s="94"/>
      <c r="HHB499" s="94"/>
      <c r="HHC499" s="95"/>
      <c r="HHD499" s="96"/>
      <c r="HHE499" s="97"/>
      <c r="HHF499" s="97"/>
      <c r="HHG499" s="97"/>
      <c r="HHH499" s="97"/>
      <c r="HHI499" s="97"/>
      <c r="HHJ499" s="97"/>
      <c r="HHK499" s="97"/>
      <c r="HHL499" s="97"/>
      <c r="HHN499" s="94"/>
      <c r="HHO499" s="94"/>
      <c r="HHP499" s="95"/>
      <c r="HHQ499" s="96"/>
      <c r="HHR499" s="97"/>
      <c r="HHS499" s="97"/>
      <c r="HHT499" s="97"/>
      <c r="HHU499" s="97"/>
      <c r="HHV499" s="97"/>
      <c r="HHW499" s="97"/>
      <c r="HHX499" s="97"/>
      <c r="HHY499" s="97"/>
      <c r="HIA499" s="94"/>
      <c r="HIB499" s="94"/>
      <c r="HIC499" s="95"/>
      <c r="HID499" s="96"/>
      <c r="HIE499" s="97"/>
      <c r="HIF499" s="97"/>
      <c r="HIG499" s="97"/>
      <c r="HIH499" s="97"/>
      <c r="HII499" s="97"/>
      <c r="HIJ499" s="97"/>
      <c r="HIK499" s="97"/>
      <c r="HIL499" s="97"/>
      <c r="HIN499" s="94"/>
      <c r="HIO499" s="94"/>
      <c r="HIP499" s="95"/>
      <c r="HIQ499" s="96"/>
      <c r="HIR499" s="97"/>
      <c r="HIS499" s="97"/>
      <c r="HIT499" s="97"/>
      <c r="HIU499" s="97"/>
      <c r="HIV499" s="97"/>
      <c r="HIW499" s="97"/>
      <c r="HIX499" s="97"/>
      <c r="HIY499" s="97"/>
      <c r="HJA499" s="94"/>
      <c r="HJB499" s="94"/>
      <c r="HJC499" s="95"/>
      <c r="HJD499" s="96"/>
      <c r="HJE499" s="97"/>
      <c r="HJF499" s="97"/>
      <c r="HJG499" s="97"/>
      <c r="HJH499" s="97"/>
      <c r="HJI499" s="97"/>
      <c r="HJJ499" s="97"/>
      <c r="HJK499" s="97"/>
      <c r="HJL499" s="97"/>
      <c r="HJN499" s="94"/>
      <c r="HJO499" s="94"/>
      <c r="HJP499" s="95"/>
      <c r="HJQ499" s="96"/>
      <c r="HJR499" s="97"/>
      <c r="HJS499" s="97"/>
      <c r="HJT499" s="97"/>
      <c r="HJU499" s="97"/>
      <c r="HJV499" s="97"/>
      <c r="HJW499" s="97"/>
      <c r="HJX499" s="97"/>
      <c r="HJY499" s="97"/>
      <c r="HKA499" s="94"/>
      <c r="HKB499" s="94"/>
      <c r="HKC499" s="95"/>
      <c r="HKD499" s="96"/>
      <c r="HKE499" s="97"/>
      <c r="HKF499" s="97"/>
      <c r="HKG499" s="97"/>
      <c r="HKH499" s="97"/>
      <c r="HKI499" s="97"/>
      <c r="HKJ499" s="97"/>
      <c r="HKK499" s="97"/>
      <c r="HKL499" s="97"/>
      <c r="HKN499" s="94"/>
      <c r="HKO499" s="94"/>
      <c r="HKP499" s="95"/>
      <c r="HKQ499" s="96"/>
      <c r="HKR499" s="97"/>
      <c r="HKS499" s="97"/>
      <c r="HKT499" s="97"/>
      <c r="HKU499" s="97"/>
      <c r="HKV499" s="97"/>
      <c r="HKW499" s="97"/>
      <c r="HKX499" s="97"/>
      <c r="HKY499" s="97"/>
      <c r="HLA499" s="94"/>
      <c r="HLB499" s="94"/>
      <c r="HLC499" s="95"/>
      <c r="HLD499" s="96"/>
      <c r="HLE499" s="97"/>
      <c r="HLF499" s="97"/>
      <c r="HLG499" s="97"/>
      <c r="HLH499" s="97"/>
      <c r="HLI499" s="97"/>
      <c r="HLJ499" s="97"/>
      <c r="HLK499" s="97"/>
      <c r="HLL499" s="97"/>
      <c r="HLN499" s="94"/>
      <c r="HLO499" s="94"/>
      <c r="HLP499" s="95"/>
      <c r="HLQ499" s="96"/>
      <c r="HLR499" s="97"/>
      <c r="HLS499" s="97"/>
      <c r="HLT499" s="97"/>
      <c r="HLU499" s="97"/>
      <c r="HLV499" s="97"/>
      <c r="HLW499" s="97"/>
      <c r="HLX499" s="97"/>
      <c r="HLY499" s="97"/>
      <c r="HMA499" s="94"/>
      <c r="HMB499" s="94"/>
      <c r="HMC499" s="95"/>
      <c r="HMD499" s="96"/>
      <c r="HME499" s="97"/>
      <c r="HMF499" s="97"/>
      <c r="HMG499" s="97"/>
      <c r="HMH499" s="97"/>
      <c r="HMI499" s="97"/>
      <c r="HMJ499" s="97"/>
      <c r="HMK499" s="97"/>
      <c r="HML499" s="97"/>
      <c r="HMN499" s="94"/>
      <c r="HMO499" s="94"/>
      <c r="HMP499" s="95"/>
      <c r="HMQ499" s="96"/>
      <c r="HMR499" s="97"/>
      <c r="HMS499" s="97"/>
      <c r="HMT499" s="97"/>
      <c r="HMU499" s="97"/>
      <c r="HMV499" s="97"/>
      <c r="HMW499" s="97"/>
      <c r="HMX499" s="97"/>
      <c r="HMY499" s="97"/>
      <c r="HNA499" s="94"/>
      <c r="HNB499" s="94"/>
      <c r="HNC499" s="95"/>
      <c r="HND499" s="96"/>
      <c r="HNE499" s="97"/>
      <c r="HNF499" s="97"/>
      <c r="HNG499" s="97"/>
      <c r="HNH499" s="97"/>
      <c r="HNI499" s="97"/>
      <c r="HNJ499" s="97"/>
      <c r="HNK499" s="97"/>
      <c r="HNL499" s="97"/>
      <c r="HNN499" s="94"/>
      <c r="HNO499" s="94"/>
      <c r="HNP499" s="95"/>
      <c r="HNQ499" s="96"/>
      <c r="HNR499" s="97"/>
      <c r="HNS499" s="97"/>
      <c r="HNT499" s="97"/>
      <c r="HNU499" s="97"/>
      <c r="HNV499" s="97"/>
      <c r="HNW499" s="97"/>
      <c r="HNX499" s="97"/>
      <c r="HNY499" s="97"/>
      <c r="HOA499" s="94"/>
      <c r="HOB499" s="94"/>
      <c r="HOC499" s="95"/>
      <c r="HOD499" s="96"/>
      <c r="HOE499" s="97"/>
      <c r="HOF499" s="97"/>
      <c r="HOG499" s="97"/>
      <c r="HOH499" s="97"/>
      <c r="HOI499" s="97"/>
      <c r="HOJ499" s="97"/>
      <c r="HOK499" s="97"/>
      <c r="HOL499" s="97"/>
      <c r="HON499" s="94"/>
      <c r="HOO499" s="94"/>
      <c r="HOP499" s="95"/>
      <c r="HOQ499" s="96"/>
      <c r="HOR499" s="97"/>
      <c r="HOS499" s="97"/>
      <c r="HOT499" s="97"/>
      <c r="HOU499" s="97"/>
      <c r="HOV499" s="97"/>
      <c r="HOW499" s="97"/>
      <c r="HOX499" s="97"/>
      <c r="HOY499" s="97"/>
      <c r="HPA499" s="94"/>
      <c r="HPB499" s="94"/>
      <c r="HPC499" s="95"/>
      <c r="HPD499" s="96"/>
      <c r="HPE499" s="97"/>
      <c r="HPF499" s="97"/>
      <c r="HPG499" s="97"/>
      <c r="HPH499" s="97"/>
      <c r="HPI499" s="97"/>
      <c r="HPJ499" s="97"/>
      <c r="HPK499" s="97"/>
      <c r="HPL499" s="97"/>
      <c r="HPN499" s="94"/>
      <c r="HPO499" s="94"/>
      <c r="HPP499" s="95"/>
      <c r="HPQ499" s="96"/>
      <c r="HPR499" s="97"/>
      <c r="HPS499" s="97"/>
      <c r="HPT499" s="97"/>
      <c r="HPU499" s="97"/>
      <c r="HPV499" s="97"/>
      <c r="HPW499" s="97"/>
      <c r="HPX499" s="97"/>
      <c r="HPY499" s="97"/>
      <c r="HQA499" s="94"/>
      <c r="HQB499" s="94"/>
      <c r="HQC499" s="95"/>
      <c r="HQD499" s="96"/>
      <c r="HQE499" s="97"/>
      <c r="HQF499" s="97"/>
      <c r="HQG499" s="97"/>
      <c r="HQH499" s="97"/>
      <c r="HQI499" s="97"/>
      <c r="HQJ499" s="97"/>
      <c r="HQK499" s="97"/>
      <c r="HQL499" s="97"/>
      <c r="HQN499" s="94"/>
      <c r="HQO499" s="94"/>
      <c r="HQP499" s="95"/>
      <c r="HQQ499" s="96"/>
      <c r="HQR499" s="97"/>
      <c r="HQS499" s="97"/>
      <c r="HQT499" s="97"/>
      <c r="HQU499" s="97"/>
      <c r="HQV499" s="97"/>
      <c r="HQW499" s="97"/>
      <c r="HQX499" s="97"/>
      <c r="HQY499" s="97"/>
      <c r="HRA499" s="94"/>
      <c r="HRB499" s="94"/>
      <c r="HRC499" s="95"/>
      <c r="HRD499" s="96"/>
      <c r="HRE499" s="97"/>
      <c r="HRF499" s="97"/>
      <c r="HRG499" s="97"/>
      <c r="HRH499" s="97"/>
      <c r="HRI499" s="97"/>
      <c r="HRJ499" s="97"/>
      <c r="HRK499" s="97"/>
      <c r="HRL499" s="97"/>
      <c r="HRN499" s="94"/>
      <c r="HRO499" s="94"/>
      <c r="HRP499" s="95"/>
      <c r="HRQ499" s="96"/>
      <c r="HRR499" s="97"/>
      <c r="HRS499" s="97"/>
      <c r="HRT499" s="97"/>
      <c r="HRU499" s="97"/>
      <c r="HRV499" s="97"/>
      <c r="HRW499" s="97"/>
      <c r="HRX499" s="97"/>
      <c r="HRY499" s="97"/>
      <c r="HSA499" s="94"/>
      <c r="HSB499" s="94"/>
      <c r="HSC499" s="95"/>
      <c r="HSD499" s="96"/>
      <c r="HSE499" s="97"/>
      <c r="HSF499" s="97"/>
      <c r="HSG499" s="97"/>
      <c r="HSH499" s="97"/>
      <c r="HSI499" s="97"/>
      <c r="HSJ499" s="97"/>
      <c r="HSK499" s="97"/>
      <c r="HSL499" s="97"/>
      <c r="HSN499" s="94"/>
      <c r="HSO499" s="94"/>
      <c r="HSP499" s="95"/>
      <c r="HSQ499" s="96"/>
      <c r="HSR499" s="97"/>
      <c r="HSS499" s="97"/>
      <c r="HST499" s="97"/>
      <c r="HSU499" s="97"/>
      <c r="HSV499" s="97"/>
      <c r="HSW499" s="97"/>
      <c r="HSX499" s="97"/>
      <c r="HSY499" s="97"/>
      <c r="HTA499" s="94"/>
      <c r="HTB499" s="94"/>
      <c r="HTC499" s="95"/>
      <c r="HTD499" s="96"/>
      <c r="HTE499" s="97"/>
      <c r="HTF499" s="97"/>
      <c r="HTG499" s="97"/>
      <c r="HTH499" s="97"/>
      <c r="HTI499" s="97"/>
      <c r="HTJ499" s="97"/>
      <c r="HTK499" s="97"/>
      <c r="HTL499" s="97"/>
      <c r="HTN499" s="94"/>
      <c r="HTO499" s="94"/>
      <c r="HTP499" s="95"/>
      <c r="HTQ499" s="96"/>
      <c r="HTR499" s="97"/>
      <c r="HTS499" s="97"/>
      <c r="HTT499" s="97"/>
      <c r="HTU499" s="97"/>
      <c r="HTV499" s="97"/>
      <c r="HTW499" s="97"/>
      <c r="HTX499" s="97"/>
      <c r="HTY499" s="97"/>
      <c r="HUA499" s="94"/>
      <c r="HUB499" s="94"/>
      <c r="HUC499" s="95"/>
      <c r="HUD499" s="96"/>
      <c r="HUE499" s="97"/>
      <c r="HUF499" s="97"/>
      <c r="HUG499" s="97"/>
      <c r="HUH499" s="97"/>
      <c r="HUI499" s="97"/>
      <c r="HUJ499" s="97"/>
      <c r="HUK499" s="97"/>
      <c r="HUL499" s="97"/>
      <c r="HUN499" s="94"/>
      <c r="HUO499" s="94"/>
      <c r="HUP499" s="95"/>
      <c r="HUQ499" s="96"/>
      <c r="HUR499" s="97"/>
      <c r="HUS499" s="97"/>
      <c r="HUT499" s="97"/>
      <c r="HUU499" s="97"/>
      <c r="HUV499" s="97"/>
      <c r="HUW499" s="97"/>
      <c r="HUX499" s="97"/>
      <c r="HUY499" s="97"/>
      <c r="HVA499" s="94"/>
      <c r="HVB499" s="94"/>
      <c r="HVC499" s="95"/>
      <c r="HVD499" s="96"/>
      <c r="HVE499" s="97"/>
      <c r="HVF499" s="97"/>
      <c r="HVG499" s="97"/>
      <c r="HVH499" s="97"/>
      <c r="HVI499" s="97"/>
      <c r="HVJ499" s="97"/>
      <c r="HVK499" s="97"/>
      <c r="HVL499" s="97"/>
      <c r="HVN499" s="94"/>
      <c r="HVO499" s="94"/>
      <c r="HVP499" s="95"/>
      <c r="HVQ499" s="96"/>
      <c r="HVR499" s="97"/>
      <c r="HVS499" s="97"/>
      <c r="HVT499" s="97"/>
      <c r="HVU499" s="97"/>
      <c r="HVV499" s="97"/>
      <c r="HVW499" s="97"/>
      <c r="HVX499" s="97"/>
      <c r="HVY499" s="97"/>
      <c r="HWA499" s="94"/>
      <c r="HWB499" s="94"/>
      <c r="HWC499" s="95"/>
      <c r="HWD499" s="96"/>
      <c r="HWE499" s="97"/>
      <c r="HWF499" s="97"/>
      <c r="HWG499" s="97"/>
      <c r="HWH499" s="97"/>
      <c r="HWI499" s="97"/>
      <c r="HWJ499" s="97"/>
      <c r="HWK499" s="97"/>
      <c r="HWL499" s="97"/>
      <c r="HWN499" s="94"/>
      <c r="HWO499" s="94"/>
      <c r="HWP499" s="95"/>
      <c r="HWQ499" s="96"/>
      <c r="HWR499" s="97"/>
      <c r="HWS499" s="97"/>
      <c r="HWT499" s="97"/>
      <c r="HWU499" s="97"/>
      <c r="HWV499" s="97"/>
      <c r="HWW499" s="97"/>
      <c r="HWX499" s="97"/>
      <c r="HWY499" s="97"/>
      <c r="HXA499" s="94"/>
      <c r="HXB499" s="94"/>
      <c r="HXC499" s="95"/>
      <c r="HXD499" s="96"/>
      <c r="HXE499" s="97"/>
      <c r="HXF499" s="97"/>
      <c r="HXG499" s="97"/>
      <c r="HXH499" s="97"/>
      <c r="HXI499" s="97"/>
      <c r="HXJ499" s="97"/>
      <c r="HXK499" s="97"/>
      <c r="HXL499" s="97"/>
      <c r="HXN499" s="94"/>
      <c r="HXO499" s="94"/>
      <c r="HXP499" s="95"/>
      <c r="HXQ499" s="96"/>
      <c r="HXR499" s="97"/>
      <c r="HXS499" s="97"/>
      <c r="HXT499" s="97"/>
      <c r="HXU499" s="97"/>
      <c r="HXV499" s="97"/>
      <c r="HXW499" s="97"/>
      <c r="HXX499" s="97"/>
      <c r="HXY499" s="97"/>
      <c r="HYA499" s="94"/>
      <c r="HYB499" s="94"/>
      <c r="HYC499" s="95"/>
      <c r="HYD499" s="96"/>
      <c r="HYE499" s="97"/>
      <c r="HYF499" s="97"/>
      <c r="HYG499" s="97"/>
      <c r="HYH499" s="97"/>
      <c r="HYI499" s="97"/>
      <c r="HYJ499" s="97"/>
      <c r="HYK499" s="97"/>
      <c r="HYL499" s="97"/>
      <c r="HYN499" s="94"/>
      <c r="HYO499" s="94"/>
      <c r="HYP499" s="95"/>
      <c r="HYQ499" s="96"/>
      <c r="HYR499" s="97"/>
      <c r="HYS499" s="97"/>
      <c r="HYT499" s="97"/>
      <c r="HYU499" s="97"/>
      <c r="HYV499" s="97"/>
      <c r="HYW499" s="97"/>
      <c r="HYX499" s="97"/>
      <c r="HYY499" s="97"/>
      <c r="HZA499" s="94"/>
      <c r="HZB499" s="94"/>
      <c r="HZC499" s="95"/>
      <c r="HZD499" s="96"/>
      <c r="HZE499" s="97"/>
      <c r="HZF499" s="97"/>
      <c r="HZG499" s="97"/>
      <c r="HZH499" s="97"/>
      <c r="HZI499" s="97"/>
      <c r="HZJ499" s="97"/>
      <c r="HZK499" s="97"/>
      <c r="HZL499" s="97"/>
      <c r="HZN499" s="94"/>
      <c r="HZO499" s="94"/>
      <c r="HZP499" s="95"/>
      <c r="HZQ499" s="96"/>
      <c r="HZR499" s="97"/>
      <c r="HZS499" s="97"/>
      <c r="HZT499" s="97"/>
      <c r="HZU499" s="97"/>
      <c r="HZV499" s="97"/>
      <c r="HZW499" s="97"/>
      <c r="HZX499" s="97"/>
      <c r="HZY499" s="97"/>
      <c r="IAA499" s="94"/>
      <c r="IAB499" s="94"/>
      <c r="IAC499" s="95"/>
      <c r="IAD499" s="96"/>
      <c r="IAE499" s="97"/>
      <c r="IAF499" s="97"/>
      <c r="IAG499" s="97"/>
      <c r="IAH499" s="97"/>
      <c r="IAI499" s="97"/>
      <c r="IAJ499" s="97"/>
      <c r="IAK499" s="97"/>
      <c r="IAL499" s="97"/>
      <c r="IAN499" s="94"/>
      <c r="IAO499" s="94"/>
      <c r="IAP499" s="95"/>
      <c r="IAQ499" s="96"/>
      <c r="IAR499" s="97"/>
      <c r="IAS499" s="97"/>
      <c r="IAT499" s="97"/>
      <c r="IAU499" s="97"/>
      <c r="IAV499" s="97"/>
      <c r="IAW499" s="97"/>
      <c r="IAX499" s="97"/>
      <c r="IAY499" s="97"/>
      <c r="IBA499" s="94"/>
      <c r="IBB499" s="94"/>
      <c r="IBC499" s="95"/>
      <c r="IBD499" s="96"/>
      <c r="IBE499" s="97"/>
      <c r="IBF499" s="97"/>
      <c r="IBG499" s="97"/>
      <c r="IBH499" s="97"/>
      <c r="IBI499" s="97"/>
      <c r="IBJ499" s="97"/>
      <c r="IBK499" s="97"/>
      <c r="IBL499" s="97"/>
      <c r="IBN499" s="94"/>
      <c r="IBO499" s="94"/>
      <c r="IBP499" s="95"/>
      <c r="IBQ499" s="96"/>
      <c r="IBR499" s="97"/>
      <c r="IBS499" s="97"/>
      <c r="IBT499" s="97"/>
      <c r="IBU499" s="97"/>
      <c r="IBV499" s="97"/>
      <c r="IBW499" s="97"/>
      <c r="IBX499" s="97"/>
      <c r="IBY499" s="97"/>
      <c r="ICA499" s="94"/>
      <c r="ICB499" s="94"/>
      <c r="ICC499" s="95"/>
      <c r="ICD499" s="96"/>
      <c r="ICE499" s="97"/>
      <c r="ICF499" s="97"/>
      <c r="ICG499" s="97"/>
      <c r="ICH499" s="97"/>
      <c r="ICI499" s="97"/>
      <c r="ICJ499" s="97"/>
      <c r="ICK499" s="97"/>
      <c r="ICL499" s="97"/>
      <c r="ICN499" s="94"/>
      <c r="ICO499" s="94"/>
      <c r="ICP499" s="95"/>
      <c r="ICQ499" s="96"/>
      <c r="ICR499" s="97"/>
      <c r="ICS499" s="97"/>
      <c r="ICT499" s="97"/>
      <c r="ICU499" s="97"/>
      <c r="ICV499" s="97"/>
      <c r="ICW499" s="97"/>
      <c r="ICX499" s="97"/>
      <c r="ICY499" s="97"/>
      <c r="IDA499" s="94"/>
      <c r="IDB499" s="94"/>
      <c r="IDC499" s="95"/>
      <c r="IDD499" s="96"/>
      <c r="IDE499" s="97"/>
      <c r="IDF499" s="97"/>
      <c r="IDG499" s="97"/>
      <c r="IDH499" s="97"/>
      <c r="IDI499" s="97"/>
      <c r="IDJ499" s="97"/>
      <c r="IDK499" s="97"/>
      <c r="IDL499" s="97"/>
      <c r="IDN499" s="94"/>
      <c r="IDO499" s="94"/>
      <c r="IDP499" s="95"/>
      <c r="IDQ499" s="96"/>
      <c r="IDR499" s="97"/>
      <c r="IDS499" s="97"/>
      <c r="IDT499" s="97"/>
      <c r="IDU499" s="97"/>
      <c r="IDV499" s="97"/>
      <c r="IDW499" s="97"/>
      <c r="IDX499" s="97"/>
      <c r="IDY499" s="97"/>
      <c r="IEA499" s="94"/>
      <c r="IEB499" s="94"/>
      <c r="IEC499" s="95"/>
      <c r="IED499" s="96"/>
      <c r="IEE499" s="97"/>
      <c r="IEF499" s="97"/>
      <c r="IEG499" s="97"/>
      <c r="IEH499" s="97"/>
      <c r="IEI499" s="97"/>
      <c r="IEJ499" s="97"/>
      <c r="IEK499" s="97"/>
      <c r="IEL499" s="97"/>
      <c r="IEN499" s="94"/>
      <c r="IEO499" s="94"/>
      <c r="IEP499" s="95"/>
      <c r="IEQ499" s="96"/>
      <c r="IER499" s="97"/>
      <c r="IES499" s="97"/>
      <c r="IET499" s="97"/>
      <c r="IEU499" s="97"/>
      <c r="IEV499" s="97"/>
      <c r="IEW499" s="97"/>
      <c r="IEX499" s="97"/>
      <c r="IEY499" s="97"/>
      <c r="IFA499" s="94"/>
      <c r="IFB499" s="94"/>
      <c r="IFC499" s="95"/>
      <c r="IFD499" s="96"/>
      <c r="IFE499" s="97"/>
      <c r="IFF499" s="97"/>
      <c r="IFG499" s="97"/>
      <c r="IFH499" s="97"/>
      <c r="IFI499" s="97"/>
      <c r="IFJ499" s="97"/>
      <c r="IFK499" s="97"/>
      <c r="IFL499" s="97"/>
      <c r="IFN499" s="94"/>
      <c r="IFO499" s="94"/>
      <c r="IFP499" s="95"/>
      <c r="IFQ499" s="96"/>
      <c r="IFR499" s="97"/>
      <c r="IFS499" s="97"/>
      <c r="IFT499" s="97"/>
      <c r="IFU499" s="97"/>
      <c r="IFV499" s="97"/>
      <c r="IFW499" s="97"/>
      <c r="IFX499" s="97"/>
      <c r="IFY499" s="97"/>
      <c r="IGA499" s="94"/>
      <c r="IGB499" s="94"/>
      <c r="IGC499" s="95"/>
      <c r="IGD499" s="96"/>
      <c r="IGE499" s="97"/>
      <c r="IGF499" s="97"/>
      <c r="IGG499" s="97"/>
      <c r="IGH499" s="97"/>
      <c r="IGI499" s="97"/>
      <c r="IGJ499" s="97"/>
      <c r="IGK499" s="97"/>
      <c r="IGL499" s="97"/>
      <c r="IGN499" s="94"/>
      <c r="IGO499" s="94"/>
      <c r="IGP499" s="95"/>
      <c r="IGQ499" s="96"/>
      <c r="IGR499" s="97"/>
      <c r="IGS499" s="97"/>
      <c r="IGT499" s="97"/>
      <c r="IGU499" s="97"/>
      <c r="IGV499" s="97"/>
      <c r="IGW499" s="97"/>
      <c r="IGX499" s="97"/>
      <c r="IGY499" s="97"/>
      <c r="IHA499" s="94"/>
      <c r="IHB499" s="94"/>
      <c r="IHC499" s="95"/>
      <c r="IHD499" s="96"/>
      <c r="IHE499" s="97"/>
      <c r="IHF499" s="97"/>
      <c r="IHG499" s="97"/>
      <c r="IHH499" s="97"/>
      <c r="IHI499" s="97"/>
      <c r="IHJ499" s="97"/>
      <c r="IHK499" s="97"/>
      <c r="IHL499" s="97"/>
      <c r="IHN499" s="94"/>
      <c r="IHO499" s="94"/>
      <c r="IHP499" s="95"/>
      <c r="IHQ499" s="96"/>
      <c r="IHR499" s="97"/>
      <c r="IHS499" s="97"/>
      <c r="IHT499" s="97"/>
      <c r="IHU499" s="97"/>
      <c r="IHV499" s="97"/>
      <c r="IHW499" s="97"/>
      <c r="IHX499" s="97"/>
      <c r="IHY499" s="97"/>
      <c r="IIA499" s="94"/>
      <c r="IIB499" s="94"/>
      <c r="IIC499" s="95"/>
      <c r="IID499" s="96"/>
      <c r="IIE499" s="97"/>
      <c r="IIF499" s="97"/>
      <c r="IIG499" s="97"/>
      <c r="IIH499" s="97"/>
      <c r="III499" s="97"/>
      <c r="IIJ499" s="97"/>
      <c r="IIK499" s="97"/>
      <c r="IIL499" s="97"/>
      <c r="IIN499" s="94"/>
      <c r="IIO499" s="94"/>
      <c r="IIP499" s="95"/>
      <c r="IIQ499" s="96"/>
      <c r="IIR499" s="97"/>
      <c r="IIS499" s="97"/>
      <c r="IIT499" s="97"/>
      <c r="IIU499" s="97"/>
      <c r="IIV499" s="97"/>
      <c r="IIW499" s="97"/>
      <c r="IIX499" s="97"/>
      <c r="IIY499" s="97"/>
      <c r="IJA499" s="94"/>
      <c r="IJB499" s="94"/>
      <c r="IJC499" s="95"/>
      <c r="IJD499" s="96"/>
      <c r="IJE499" s="97"/>
      <c r="IJF499" s="97"/>
      <c r="IJG499" s="97"/>
      <c r="IJH499" s="97"/>
      <c r="IJI499" s="97"/>
      <c r="IJJ499" s="97"/>
      <c r="IJK499" s="97"/>
      <c r="IJL499" s="97"/>
      <c r="IJN499" s="94"/>
      <c r="IJO499" s="94"/>
      <c r="IJP499" s="95"/>
      <c r="IJQ499" s="96"/>
      <c r="IJR499" s="97"/>
      <c r="IJS499" s="97"/>
      <c r="IJT499" s="97"/>
      <c r="IJU499" s="97"/>
      <c r="IJV499" s="97"/>
      <c r="IJW499" s="97"/>
      <c r="IJX499" s="97"/>
      <c r="IJY499" s="97"/>
      <c r="IKA499" s="94"/>
      <c r="IKB499" s="94"/>
      <c r="IKC499" s="95"/>
      <c r="IKD499" s="96"/>
      <c r="IKE499" s="97"/>
      <c r="IKF499" s="97"/>
      <c r="IKG499" s="97"/>
      <c r="IKH499" s="97"/>
      <c r="IKI499" s="97"/>
      <c r="IKJ499" s="97"/>
      <c r="IKK499" s="97"/>
      <c r="IKL499" s="97"/>
      <c r="IKN499" s="94"/>
      <c r="IKO499" s="94"/>
      <c r="IKP499" s="95"/>
      <c r="IKQ499" s="96"/>
      <c r="IKR499" s="97"/>
      <c r="IKS499" s="97"/>
      <c r="IKT499" s="97"/>
      <c r="IKU499" s="97"/>
      <c r="IKV499" s="97"/>
      <c r="IKW499" s="97"/>
      <c r="IKX499" s="97"/>
      <c r="IKY499" s="97"/>
      <c r="ILA499" s="94"/>
      <c r="ILB499" s="94"/>
      <c r="ILC499" s="95"/>
      <c r="ILD499" s="96"/>
      <c r="ILE499" s="97"/>
      <c r="ILF499" s="97"/>
      <c r="ILG499" s="97"/>
      <c r="ILH499" s="97"/>
      <c r="ILI499" s="97"/>
      <c r="ILJ499" s="97"/>
      <c r="ILK499" s="97"/>
      <c r="ILL499" s="97"/>
      <c r="ILN499" s="94"/>
      <c r="ILO499" s="94"/>
      <c r="ILP499" s="95"/>
      <c r="ILQ499" s="96"/>
      <c r="ILR499" s="97"/>
      <c r="ILS499" s="97"/>
      <c r="ILT499" s="97"/>
      <c r="ILU499" s="97"/>
      <c r="ILV499" s="97"/>
      <c r="ILW499" s="97"/>
      <c r="ILX499" s="97"/>
      <c r="ILY499" s="97"/>
      <c r="IMA499" s="94"/>
      <c r="IMB499" s="94"/>
      <c r="IMC499" s="95"/>
      <c r="IMD499" s="96"/>
      <c r="IME499" s="97"/>
      <c r="IMF499" s="97"/>
      <c r="IMG499" s="97"/>
      <c r="IMH499" s="97"/>
      <c r="IMI499" s="97"/>
      <c r="IMJ499" s="97"/>
      <c r="IMK499" s="97"/>
      <c r="IML499" s="97"/>
      <c r="IMN499" s="94"/>
      <c r="IMO499" s="94"/>
      <c r="IMP499" s="95"/>
      <c r="IMQ499" s="96"/>
      <c r="IMR499" s="97"/>
      <c r="IMS499" s="97"/>
      <c r="IMT499" s="97"/>
      <c r="IMU499" s="97"/>
      <c r="IMV499" s="97"/>
      <c r="IMW499" s="97"/>
      <c r="IMX499" s="97"/>
      <c r="IMY499" s="97"/>
      <c r="INA499" s="94"/>
      <c r="INB499" s="94"/>
      <c r="INC499" s="95"/>
      <c r="IND499" s="96"/>
      <c r="INE499" s="97"/>
      <c r="INF499" s="97"/>
      <c r="ING499" s="97"/>
      <c r="INH499" s="97"/>
      <c r="INI499" s="97"/>
      <c r="INJ499" s="97"/>
      <c r="INK499" s="97"/>
      <c r="INL499" s="97"/>
      <c r="INN499" s="94"/>
      <c r="INO499" s="94"/>
      <c r="INP499" s="95"/>
      <c r="INQ499" s="96"/>
      <c r="INR499" s="97"/>
      <c r="INS499" s="97"/>
      <c r="INT499" s="97"/>
      <c r="INU499" s="97"/>
      <c r="INV499" s="97"/>
      <c r="INW499" s="97"/>
      <c r="INX499" s="97"/>
      <c r="INY499" s="97"/>
      <c r="IOA499" s="94"/>
      <c r="IOB499" s="94"/>
      <c r="IOC499" s="95"/>
      <c r="IOD499" s="96"/>
      <c r="IOE499" s="97"/>
      <c r="IOF499" s="97"/>
      <c r="IOG499" s="97"/>
      <c r="IOH499" s="97"/>
      <c r="IOI499" s="97"/>
      <c r="IOJ499" s="97"/>
      <c r="IOK499" s="97"/>
      <c r="IOL499" s="97"/>
      <c r="ION499" s="94"/>
      <c r="IOO499" s="94"/>
      <c r="IOP499" s="95"/>
      <c r="IOQ499" s="96"/>
      <c r="IOR499" s="97"/>
      <c r="IOS499" s="97"/>
      <c r="IOT499" s="97"/>
      <c r="IOU499" s="97"/>
      <c r="IOV499" s="97"/>
      <c r="IOW499" s="97"/>
      <c r="IOX499" s="97"/>
      <c r="IOY499" s="97"/>
      <c r="IPA499" s="94"/>
      <c r="IPB499" s="94"/>
      <c r="IPC499" s="95"/>
      <c r="IPD499" s="96"/>
      <c r="IPE499" s="97"/>
      <c r="IPF499" s="97"/>
      <c r="IPG499" s="97"/>
      <c r="IPH499" s="97"/>
      <c r="IPI499" s="97"/>
      <c r="IPJ499" s="97"/>
      <c r="IPK499" s="97"/>
      <c r="IPL499" s="97"/>
      <c r="IPN499" s="94"/>
      <c r="IPO499" s="94"/>
      <c r="IPP499" s="95"/>
      <c r="IPQ499" s="96"/>
      <c r="IPR499" s="97"/>
      <c r="IPS499" s="97"/>
      <c r="IPT499" s="97"/>
      <c r="IPU499" s="97"/>
      <c r="IPV499" s="97"/>
      <c r="IPW499" s="97"/>
      <c r="IPX499" s="97"/>
      <c r="IPY499" s="97"/>
      <c r="IQA499" s="94"/>
      <c r="IQB499" s="94"/>
      <c r="IQC499" s="95"/>
      <c r="IQD499" s="96"/>
      <c r="IQE499" s="97"/>
      <c r="IQF499" s="97"/>
      <c r="IQG499" s="97"/>
      <c r="IQH499" s="97"/>
      <c r="IQI499" s="97"/>
      <c r="IQJ499" s="97"/>
      <c r="IQK499" s="97"/>
      <c r="IQL499" s="97"/>
      <c r="IQN499" s="94"/>
      <c r="IQO499" s="94"/>
      <c r="IQP499" s="95"/>
      <c r="IQQ499" s="96"/>
      <c r="IQR499" s="97"/>
      <c r="IQS499" s="97"/>
      <c r="IQT499" s="97"/>
      <c r="IQU499" s="97"/>
      <c r="IQV499" s="97"/>
      <c r="IQW499" s="97"/>
      <c r="IQX499" s="97"/>
      <c r="IQY499" s="97"/>
      <c r="IRA499" s="94"/>
      <c r="IRB499" s="94"/>
      <c r="IRC499" s="95"/>
      <c r="IRD499" s="96"/>
      <c r="IRE499" s="97"/>
      <c r="IRF499" s="97"/>
      <c r="IRG499" s="97"/>
      <c r="IRH499" s="97"/>
      <c r="IRI499" s="97"/>
      <c r="IRJ499" s="97"/>
      <c r="IRK499" s="97"/>
      <c r="IRL499" s="97"/>
      <c r="IRN499" s="94"/>
      <c r="IRO499" s="94"/>
      <c r="IRP499" s="95"/>
      <c r="IRQ499" s="96"/>
      <c r="IRR499" s="97"/>
      <c r="IRS499" s="97"/>
      <c r="IRT499" s="97"/>
      <c r="IRU499" s="97"/>
      <c r="IRV499" s="97"/>
      <c r="IRW499" s="97"/>
      <c r="IRX499" s="97"/>
      <c r="IRY499" s="97"/>
      <c r="ISA499" s="94"/>
      <c r="ISB499" s="94"/>
      <c r="ISC499" s="95"/>
      <c r="ISD499" s="96"/>
      <c r="ISE499" s="97"/>
      <c r="ISF499" s="97"/>
      <c r="ISG499" s="97"/>
      <c r="ISH499" s="97"/>
      <c r="ISI499" s="97"/>
      <c r="ISJ499" s="97"/>
      <c r="ISK499" s="97"/>
      <c r="ISL499" s="97"/>
      <c r="ISN499" s="94"/>
      <c r="ISO499" s="94"/>
      <c r="ISP499" s="95"/>
      <c r="ISQ499" s="96"/>
      <c r="ISR499" s="97"/>
      <c r="ISS499" s="97"/>
      <c r="IST499" s="97"/>
      <c r="ISU499" s="97"/>
      <c r="ISV499" s="97"/>
      <c r="ISW499" s="97"/>
      <c r="ISX499" s="97"/>
      <c r="ISY499" s="97"/>
      <c r="ITA499" s="94"/>
      <c r="ITB499" s="94"/>
      <c r="ITC499" s="95"/>
      <c r="ITD499" s="96"/>
      <c r="ITE499" s="97"/>
      <c r="ITF499" s="97"/>
      <c r="ITG499" s="97"/>
      <c r="ITH499" s="97"/>
      <c r="ITI499" s="97"/>
      <c r="ITJ499" s="97"/>
      <c r="ITK499" s="97"/>
      <c r="ITL499" s="97"/>
      <c r="ITN499" s="94"/>
      <c r="ITO499" s="94"/>
      <c r="ITP499" s="95"/>
      <c r="ITQ499" s="96"/>
      <c r="ITR499" s="97"/>
      <c r="ITS499" s="97"/>
      <c r="ITT499" s="97"/>
      <c r="ITU499" s="97"/>
      <c r="ITV499" s="97"/>
      <c r="ITW499" s="97"/>
      <c r="ITX499" s="97"/>
      <c r="ITY499" s="97"/>
      <c r="IUA499" s="94"/>
      <c r="IUB499" s="94"/>
      <c r="IUC499" s="95"/>
      <c r="IUD499" s="96"/>
      <c r="IUE499" s="97"/>
      <c r="IUF499" s="97"/>
      <c r="IUG499" s="97"/>
      <c r="IUH499" s="97"/>
      <c r="IUI499" s="97"/>
      <c r="IUJ499" s="97"/>
      <c r="IUK499" s="97"/>
      <c r="IUL499" s="97"/>
      <c r="IUN499" s="94"/>
      <c r="IUO499" s="94"/>
      <c r="IUP499" s="95"/>
      <c r="IUQ499" s="96"/>
      <c r="IUR499" s="97"/>
      <c r="IUS499" s="97"/>
      <c r="IUT499" s="97"/>
      <c r="IUU499" s="97"/>
      <c r="IUV499" s="97"/>
      <c r="IUW499" s="97"/>
      <c r="IUX499" s="97"/>
      <c r="IUY499" s="97"/>
      <c r="IVA499" s="94"/>
      <c r="IVB499" s="94"/>
      <c r="IVC499" s="95"/>
      <c r="IVD499" s="96"/>
      <c r="IVE499" s="97"/>
      <c r="IVF499" s="97"/>
      <c r="IVG499" s="97"/>
      <c r="IVH499" s="97"/>
      <c r="IVI499" s="97"/>
      <c r="IVJ499" s="97"/>
      <c r="IVK499" s="97"/>
      <c r="IVL499" s="97"/>
      <c r="IVN499" s="94"/>
      <c r="IVO499" s="94"/>
      <c r="IVP499" s="95"/>
      <c r="IVQ499" s="96"/>
      <c r="IVR499" s="97"/>
      <c r="IVS499" s="97"/>
      <c r="IVT499" s="97"/>
      <c r="IVU499" s="97"/>
      <c r="IVV499" s="97"/>
      <c r="IVW499" s="97"/>
      <c r="IVX499" s="97"/>
      <c r="IVY499" s="97"/>
      <c r="IWA499" s="94"/>
      <c r="IWB499" s="94"/>
      <c r="IWC499" s="95"/>
      <c r="IWD499" s="96"/>
      <c r="IWE499" s="97"/>
      <c r="IWF499" s="97"/>
      <c r="IWG499" s="97"/>
      <c r="IWH499" s="97"/>
      <c r="IWI499" s="97"/>
      <c r="IWJ499" s="97"/>
      <c r="IWK499" s="97"/>
      <c r="IWL499" s="97"/>
      <c r="IWN499" s="94"/>
      <c r="IWO499" s="94"/>
      <c r="IWP499" s="95"/>
      <c r="IWQ499" s="96"/>
      <c r="IWR499" s="97"/>
      <c r="IWS499" s="97"/>
      <c r="IWT499" s="97"/>
      <c r="IWU499" s="97"/>
      <c r="IWV499" s="97"/>
      <c r="IWW499" s="97"/>
      <c r="IWX499" s="97"/>
      <c r="IWY499" s="97"/>
      <c r="IXA499" s="94"/>
      <c r="IXB499" s="94"/>
      <c r="IXC499" s="95"/>
      <c r="IXD499" s="96"/>
      <c r="IXE499" s="97"/>
      <c r="IXF499" s="97"/>
      <c r="IXG499" s="97"/>
      <c r="IXH499" s="97"/>
      <c r="IXI499" s="97"/>
      <c r="IXJ499" s="97"/>
      <c r="IXK499" s="97"/>
      <c r="IXL499" s="97"/>
      <c r="IXN499" s="94"/>
      <c r="IXO499" s="94"/>
      <c r="IXP499" s="95"/>
      <c r="IXQ499" s="96"/>
      <c r="IXR499" s="97"/>
      <c r="IXS499" s="97"/>
      <c r="IXT499" s="97"/>
      <c r="IXU499" s="97"/>
      <c r="IXV499" s="97"/>
      <c r="IXW499" s="97"/>
      <c r="IXX499" s="97"/>
      <c r="IXY499" s="97"/>
      <c r="IYA499" s="94"/>
      <c r="IYB499" s="94"/>
      <c r="IYC499" s="95"/>
      <c r="IYD499" s="96"/>
      <c r="IYE499" s="97"/>
      <c r="IYF499" s="97"/>
      <c r="IYG499" s="97"/>
      <c r="IYH499" s="97"/>
      <c r="IYI499" s="97"/>
      <c r="IYJ499" s="97"/>
      <c r="IYK499" s="97"/>
      <c r="IYL499" s="97"/>
      <c r="IYN499" s="94"/>
      <c r="IYO499" s="94"/>
      <c r="IYP499" s="95"/>
      <c r="IYQ499" s="96"/>
      <c r="IYR499" s="97"/>
      <c r="IYS499" s="97"/>
      <c r="IYT499" s="97"/>
      <c r="IYU499" s="97"/>
      <c r="IYV499" s="97"/>
      <c r="IYW499" s="97"/>
      <c r="IYX499" s="97"/>
      <c r="IYY499" s="97"/>
      <c r="IZA499" s="94"/>
      <c r="IZB499" s="94"/>
      <c r="IZC499" s="95"/>
      <c r="IZD499" s="96"/>
      <c r="IZE499" s="97"/>
      <c r="IZF499" s="97"/>
      <c r="IZG499" s="97"/>
      <c r="IZH499" s="97"/>
      <c r="IZI499" s="97"/>
      <c r="IZJ499" s="97"/>
      <c r="IZK499" s="97"/>
      <c r="IZL499" s="97"/>
      <c r="IZN499" s="94"/>
      <c r="IZO499" s="94"/>
      <c r="IZP499" s="95"/>
      <c r="IZQ499" s="96"/>
      <c r="IZR499" s="97"/>
      <c r="IZS499" s="97"/>
      <c r="IZT499" s="97"/>
      <c r="IZU499" s="97"/>
      <c r="IZV499" s="97"/>
      <c r="IZW499" s="97"/>
      <c r="IZX499" s="97"/>
      <c r="IZY499" s="97"/>
      <c r="JAA499" s="94"/>
      <c r="JAB499" s="94"/>
      <c r="JAC499" s="95"/>
      <c r="JAD499" s="96"/>
      <c r="JAE499" s="97"/>
      <c r="JAF499" s="97"/>
      <c r="JAG499" s="97"/>
      <c r="JAH499" s="97"/>
      <c r="JAI499" s="97"/>
      <c r="JAJ499" s="97"/>
      <c r="JAK499" s="97"/>
      <c r="JAL499" s="97"/>
      <c r="JAN499" s="94"/>
      <c r="JAO499" s="94"/>
      <c r="JAP499" s="95"/>
      <c r="JAQ499" s="96"/>
      <c r="JAR499" s="97"/>
      <c r="JAS499" s="97"/>
      <c r="JAT499" s="97"/>
      <c r="JAU499" s="97"/>
      <c r="JAV499" s="97"/>
      <c r="JAW499" s="97"/>
      <c r="JAX499" s="97"/>
      <c r="JAY499" s="97"/>
      <c r="JBA499" s="94"/>
      <c r="JBB499" s="94"/>
      <c r="JBC499" s="95"/>
      <c r="JBD499" s="96"/>
      <c r="JBE499" s="97"/>
      <c r="JBF499" s="97"/>
      <c r="JBG499" s="97"/>
      <c r="JBH499" s="97"/>
      <c r="JBI499" s="97"/>
      <c r="JBJ499" s="97"/>
      <c r="JBK499" s="97"/>
      <c r="JBL499" s="97"/>
      <c r="JBN499" s="94"/>
      <c r="JBO499" s="94"/>
      <c r="JBP499" s="95"/>
      <c r="JBQ499" s="96"/>
      <c r="JBR499" s="97"/>
      <c r="JBS499" s="97"/>
      <c r="JBT499" s="97"/>
      <c r="JBU499" s="97"/>
      <c r="JBV499" s="97"/>
      <c r="JBW499" s="97"/>
      <c r="JBX499" s="97"/>
      <c r="JBY499" s="97"/>
      <c r="JCA499" s="94"/>
      <c r="JCB499" s="94"/>
      <c r="JCC499" s="95"/>
      <c r="JCD499" s="96"/>
      <c r="JCE499" s="97"/>
      <c r="JCF499" s="97"/>
      <c r="JCG499" s="97"/>
      <c r="JCH499" s="97"/>
      <c r="JCI499" s="97"/>
      <c r="JCJ499" s="97"/>
      <c r="JCK499" s="97"/>
      <c r="JCL499" s="97"/>
      <c r="JCN499" s="94"/>
      <c r="JCO499" s="94"/>
      <c r="JCP499" s="95"/>
      <c r="JCQ499" s="96"/>
      <c r="JCR499" s="97"/>
      <c r="JCS499" s="97"/>
      <c r="JCT499" s="97"/>
      <c r="JCU499" s="97"/>
      <c r="JCV499" s="97"/>
      <c r="JCW499" s="97"/>
      <c r="JCX499" s="97"/>
      <c r="JCY499" s="97"/>
      <c r="JDA499" s="94"/>
      <c r="JDB499" s="94"/>
      <c r="JDC499" s="95"/>
      <c r="JDD499" s="96"/>
      <c r="JDE499" s="97"/>
      <c r="JDF499" s="97"/>
      <c r="JDG499" s="97"/>
      <c r="JDH499" s="97"/>
      <c r="JDI499" s="97"/>
      <c r="JDJ499" s="97"/>
      <c r="JDK499" s="97"/>
      <c r="JDL499" s="97"/>
      <c r="JDN499" s="94"/>
      <c r="JDO499" s="94"/>
      <c r="JDP499" s="95"/>
      <c r="JDQ499" s="96"/>
      <c r="JDR499" s="97"/>
      <c r="JDS499" s="97"/>
      <c r="JDT499" s="97"/>
      <c r="JDU499" s="97"/>
      <c r="JDV499" s="97"/>
      <c r="JDW499" s="97"/>
      <c r="JDX499" s="97"/>
      <c r="JDY499" s="97"/>
      <c r="JEA499" s="94"/>
      <c r="JEB499" s="94"/>
      <c r="JEC499" s="95"/>
      <c r="JED499" s="96"/>
      <c r="JEE499" s="97"/>
      <c r="JEF499" s="97"/>
      <c r="JEG499" s="97"/>
      <c r="JEH499" s="97"/>
      <c r="JEI499" s="97"/>
      <c r="JEJ499" s="97"/>
      <c r="JEK499" s="97"/>
      <c r="JEL499" s="97"/>
      <c r="JEN499" s="94"/>
      <c r="JEO499" s="94"/>
      <c r="JEP499" s="95"/>
      <c r="JEQ499" s="96"/>
      <c r="JER499" s="97"/>
      <c r="JES499" s="97"/>
      <c r="JET499" s="97"/>
      <c r="JEU499" s="97"/>
      <c r="JEV499" s="97"/>
      <c r="JEW499" s="97"/>
      <c r="JEX499" s="97"/>
      <c r="JEY499" s="97"/>
      <c r="JFA499" s="94"/>
      <c r="JFB499" s="94"/>
      <c r="JFC499" s="95"/>
      <c r="JFD499" s="96"/>
      <c r="JFE499" s="97"/>
      <c r="JFF499" s="97"/>
      <c r="JFG499" s="97"/>
      <c r="JFH499" s="97"/>
      <c r="JFI499" s="97"/>
      <c r="JFJ499" s="97"/>
      <c r="JFK499" s="97"/>
      <c r="JFL499" s="97"/>
      <c r="JFN499" s="94"/>
      <c r="JFO499" s="94"/>
      <c r="JFP499" s="95"/>
      <c r="JFQ499" s="96"/>
      <c r="JFR499" s="97"/>
      <c r="JFS499" s="97"/>
      <c r="JFT499" s="97"/>
      <c r="JFU499" s="97"/>
      <c r="JFV499" s="97"/>
      <c r="JFW499" s="97"/>
      <c r="JFX499" s="97"/>
      <c r="JFY499" s="97"/>
      <c r="JGA499" s="94"/>
      <c r="JGB499" s="94"/>
      <c r="JGC499" s="95"/>
      <c r="JGD499" s="96"/>
      <c r="JGE499" s="97"/>
      <c r="JGF499" s="97"/>
      <c r="JGG499" s="97"/>
      <c r="JGH499" s="97"/>
      <c r="JGI499" s="97"/>
      <c r="JGJ499" s="97"/>
      <c r="JGK499" s="97"/>
      <c r="JGL499" s="97"/>
      <c r="JGN499" s="94"/>
      <c r="JGO499" s="94"/>
      <c r="JGP499" s="95"/>
      <c r="JGQ499" s="96"/>
      <c r="JGR499" s="97"/>
      <c r="JGS499" s="97"/>
      <c r="JGT499" s="97"/>
      <c r="JGU499" s="97"/>
      <c r="JGV499" s="97"/>
      <c r="JGW499" s="97"/>
      <c r="JGX499" s="97"/>
      <c r="JGY499" s="97"/>
      <c r="JHA499" s="94"/>
      <c r="JHB499" s="94"/>
      <c r="JHC499" s="95"/>
      <c r="JHD499" s="96"/>
      <c r="JHE499" s="97"/>
      <c r="JHF499" s="97"/>
      <c r="JHG499" s="97"/>
      <c r="JHH499" s="97"/>
      <c r="JHI499" s="97"/>
      <c r="JHJ499" s="97"/>
      <c r="JHK499" s="97"/>
      <c r="JHL499" s="97"/>
      <c r="JHN499" s="94"/>
      <c r="JHO499" s="94"/>
      <c r="JHP499" s="95"/>
      <c r="JHQ499" s="96"/>
      <c r="JHR499" s="97"/>
      <c r="JHS499" s="97"/>
      <c r="JHT499" s="97"/>
      <c r="JHU499" s="97"/>
      <c r="JHV499" s="97"/>
      <c r="JHW499" s="97"/>
      <c r="JHX499" s="97"/>
      <c r="JHY499" s="97"/>
      <c r="JIA499" s="94"/>
      <c r="JIB499" s="94"/>
      <c r="JIC499" s="95"/>
      <c r="JID499" s="96"/>
      <c r="JIE499" s="97"/>
      <c r="JIF499" s="97"/>
      <c r="JIG499" s="97"/>
      <c r="JIH499" s="97"/>
      <c r="JII499" s="97"/>
      <c r="JIJ499" s="97"/>
      <c r="JIK499" s="97"/>
      <c r="JIL499" s="97"/>
      <c r="JIN499" s="94"/>
      <c r="JIO499" s="94"/>
      <c r="JIP499" s="95"/>
      <c r="JIQ499" s="96"/>
      <c r="JIR499" s="97"/>
      <c r="JIS499" s="97"/>
      <c r="JIT499" s="97"/>
      <c r="JIU499" s="97"/>
      <c r="JIV499" s="97"/>
      <c r="JIW499" s="97"/>
      <c r="JIX499" s="97"/>
      <c r="JIY499" s="97"/>
      <c r="JJA499" s="94"/>
      <c r="JJB499" s="94"/>
      <c r="JJC499" s="95"/>
      <c r="JJD499" s="96"/>
      <c r="JJE499" s="97"/>
      <c r="JJF499" s="97"/>
      <c r="JJG499" s="97"/>
      <c r="JJH499" s="97"/>
      <c r="JJI499" s="97"/>
      <c r="JJJ499" s="97"/>
      <c r="JJK499" s="97"/>
      <c r="JJL499" s="97"/>
      <c r="JJN499" s="94"/>
      <c r="JJO499" s="94"/>
      <c r="JJP499" s="95"/>
      <c r="JJQ499" s="96"/>
      <c r="JJR499" s="97"/>
      <c r="JJS499" s="97"/>
      <c r="JJT499" s="97"/>
      <c r="JJU499" s="97"/>
      <c r="JJV499" s="97"/>
      <c r="JJW499" s="97"/>
      <c r="JJX499" s="97"/>
      <c r="JJY499" s="97"/>
      <c r="JKA499" s="94"/>
      <c r="JKB499" s="94"/>
      <c r="JKC499" s="95"/>
      <c r="JKD499" s="96"/>
      <c r="JKE499" s="97"/>
      <c r="JKF499" s="97"/>
      <c r="JKG499" s="97"/>
      <c r="JKH499" s="97"/>
      <c r="JKI499" s="97"/>
      <c r="JKJ499" s="97"/>
      <c r="JKK499" s="97"/>
      <c r="JKL499" s="97"/>
      <c r="JKN499" s="94"/>
      <c r="JKO499" s="94"/>
      <c r="JKP499" s="95"/>
      <c r="JKQ499" s="96"/>
      <c r="JKR499" s="97"/>
      <c r="JKS499" s="97"/>
      <c r="JKT499" s="97"/>
      <c r="JKU499" s="97"/>
      <c r="JKV499" s="97"/>
      <c r="JKW499" s="97"/>
      <c r="JKX499" s="97"/>
      <c r="JKY499" s="97"/>
      <c r="JLA499" s="94"/>
      <c r="JLB499" s="94"/>
      <c r="JLC499" s="95"/>
      <c r="JLD499" s="96"/>
      <c r="JLE499" s="97"/>
      <c r="JLF499" s="97"/>
      <c r="JLG499" s="97"/>
      <c r="JLH499" s="97"/>
      <c r="JLI499" s="97"/>
      <c r="JLJ499" s="97"/>
      <c r="JLK499" s="97"/>
      <c r="JLL499" s="97"/>
      <c r="JLN499" s="94"/>
      <c r="JLO499" s="94"/>
      <c r="JLP499" s="95"/>
      <c r="JLQ499" s="96"/>
      <c r="JLR499" s="97"/>
      <c r="JLS499" s="97"/>
      <c r="JLT499" s="97"/>
      <c r="JLU499" s="97"/>
      <c r="JLV499" s="97"/>
      <c r="JLW499" s="97"/>
      <c r="JLX499" s="97"/>
      <c r="JLY499" s="97"/>
      <c r="JMA499" s="94"/>
      <c r="JMB499" s="94"/>
      <c r="JMC499" s="95"/>
      <c r="JMD499" s="96"/>
      <c r="JME499" s="97"/>
      <c r="JMF499" s="97"/>
      <c r="JMG499" s="97"/>
      <c r="JMH499" s="97"/>
      <c r="JMI499" s="97"/>
      <c r="JMJ499" s="97"/>
      <c r="JMK499" s="97"/>
      <c r="JML499" s="97"/>
      <c r="JMN499" s="94"/>
      <c r="JMO499" s="94"/>
      <c r="JMP499" s="95"/>
      <c r="JMQ499" s="96"/>
      <c r="JMR499" s="97"/>
      <c r="JMS499" s="97"/>
      <c r="JMT499" s="97"/>
      <c r="JMU499" s="97"/>
      <c r="JMV499" s="97"/>
      <c r="JMW499" s="97"/>
      <c r="JMX499" s="97"/>
      <c r="JMY499" s="97"/>
      <c r="JNA499" s="94"/>
      <c r="JNB499" s="94"/>
      <c r="JNC499" s="95"/>
      <c r="JND499" s="96"/>
      <c r="JNE499" s="97"/>
      <c r="JNF499" s="97"/>
      <c r="JNG499" s="97"/>
      <c r="JNH499" s="97"/>
      <c r="JNI499" s="97"/>
      <c r="JNJ499" s="97"/>
      <c r="JNK499" s="97"/>
      <c r="JNL499" s="97"/>
      <c r="JNN499" s="94"/>
      <c r="JNO499" s="94"/>
      <c r="JNP499" s="95"/>
      <c r="JNQ499" s="96"/>
      <c r="JNR499" s="97"/>
      <c r="JNS499" s="97"/>
      <c r="JNT499" s="97"/>
      <c r="JNU499" s="97"/>
      <c r="JNV499" s="97"/>
      <c r="JNW499" s="97"/>
      <c r="JNX499" s="97"/>
      <c r="JNY499" s="97"/>
      <c r="JOA499" s="94"/>
      <c r="JOB499" s="94"/>
      <c r="JOC499" s="95"/>
      <c r="JOD499" s="96"/>
      <c r="JOE499" s="97"/>
      <c r="JOF499" s="97"/>
      <c r="JOG499" s="97"/>
      <c r="JOH499" s="97"/>
      <c r="JOI499" s="97"/>
      <c r="JOJ499" s="97"/>
      <c r="JOK499" s="97"/>
      <c r="JOL499" s="97"/>
      <c r="JON499" s="94"/>
      <c r="JOO499" s="94"/>
      <c r="JOP499" s="95"/>
      <c r="JOQ499" s="96"/>
      <c r="JOR499" s="97"/>
      <c r="JOS499" s="97"/>
      <c r="JOT499" s="97"/>
      <c r="JOU499" s="97"/>
      <c r="JOV499" s="97"/>
      <c r="JOW499" s="97"/>
      <c r="JOX499" s="97"/>
      <c r="JOY499" s="97"/>
      <c r="JPA499" s="94"/>
      <c r="JPB499" s="94"/>
      <c r="JPC499" s="95"/>
      <c r="JPD499" s="96"/>
      <c r="JPE499" s="97"/>
      <c r="JPF499" s="97"/>
      <c r="JPG499" s="97"/>
      <c r="JPH499" s="97"/>
      <c r="JPI499" s="97"/>
      <c r="JPJ499" s="97"/>
      <c r="JPK499" s="97"/>
      <c r="JPL499" s="97"/>
      <c r="JPN499" s="94"/>
      <c r="JPO499" s="94"/>
      <c r="JPP499" s="95"/>
      <c r="JPQ499" s="96"/>
      <c r="JPR499" s="97"/>
      <c r="JPS499" s="97"/>
      <c r="JPT499" s="97"/>
      <c r="JPU499" s="97"/>
      <c r="JPV499" s="97"/>
      <c r="JPW499" s="97"/>
      <c r="JPX499" s="97"/>
      <c r="JPY499" s="97"/>
      <c r="JQA499" s="94"/>
      <c r="JQB499" s="94"/>
      <c r="JQC499" s="95"/>
      <c r="JQD499" s="96"/>
      <c r="JQE499" s="97"/>
      <c r="JQF499" s="97"/>
      <c r="JQG499" s="97"/>
      <c r="JQH499" s="97"/>
      <c r="JQI499" s="97"/>
      <c r="JQJ499" s="97"/>
      <c r="JQK499" s="97"/>
      <c r="JQL499" s="97"/>
      <c r="JQN499" s="94"/>
      <c r="JQO499" s="94"/>
      <c r="JQP499" s="95"/>
      <c r="JQQ499" s="96"/>
      <c r="JQR499" s="97"/>
      <c r="JQS499" s="97"/>
      <c r="JQT499" s="97"/>
      <c r="JQU499" s="97"/>
      <c r="JQV499" s="97"/>
      <c r="JQW499" s="97"/>
      <c r="JQX499" s="97"/>
      <c r="JQY499" s="97"/>
      <c r="JRA499" s="94"/>
      <c r="JRB499" s="94"/>
      <c r="JRC499" s="95"/>
      <c r="JRD499" s="96"/>
      <c r="JRE499" s="97"/>
      <c r="JRF499" s="97"/>
      <c r="JRG499" s="97"/>
      <c r="JRH499" s="97"/>
      <c r="JRI499" s="97"/>
      <c r="JRJ499" s="97"/>
      <c r="JRK499" s="97"/>
      <c r="JRL499" s="97"/>
      <c r="JRN499" s="94"/>
      <c r="JRO499" s="94"/>
      <c r="JRP499" s="95"/>
      <c r="JRQ499" s="96"/>
      <c r="JRR499" s="97"/>
      <c r="JRS499" s="97"/>
      <c r="JRT499" s="97"/>
      <c r="JRU499" s="97"/>
      <c r="JRV499" s="97"/>
      <c r="JRW499" s="97"/>
      <c r="JRX499" s="97"/>
      <c r="JRY499" s="97"/>
      <c r="JSA499" s="94"/>
      <c r="JSB499" s="94"/>
      <c r="JSC499" s="95"/>
      <c r="JSD499" s="96"/>
      <c r="JSE499" s="97"/>
      <c r="JSF499" s="97"/>
      <c r="JSG499" s="97"/>
      <c r="JSH499" s="97"/>
      <c r="JSI499" s="97"/>
      <c r="JSJ499" s="97"/>
      <c r="JSK499" s="97"/>
      <c r="JSL499" s="97"/>
      <c r="JSN499" s="94"/>
      <c r="JSO499" s="94"/>
      <c r="JSP499" s="95"/>
      <c r="JSQ499" s="96"/>
      <c r="JSR499" s="97"/>
      <c r="JSS499" s="97"/>
      <c r="JST499" s="97"/>
      <c r="JSU499" s="97"/>
      <c r="JSV499" s="97"/>
      <c r="JSW499" s="97"/>
      <c r="JSX499" s="97"/>
      <c r="JSY499" s="97"/>
      <c r="JTA499" s="94"/>
      <c r="JTB499" s="94"/>
      <c r="JTC499" s="95"/>
      <c r="JTD499" s="96"/>
      <c r="JTE499" s="97"/>
      <c r="JTF499" s="97"/>
      <c r="JTG499" s="97"/>
      <c r="JTH499" s="97"/>
      <c r="JTI499" s="97"/>
      <c r="JTJ499" s="97"/>
      <c r="JTK499" s="97"/>
      <c r="JTL499" s="97"/>
      <c r="JTN499" s="94"/>
      <c r="JTO499" s="94"/>
      <c r="JTP499" s="95"/>
      <c r="JTQ499" s="96"/>
      <c r="JTR499" s="97"/>
      <c r="JTS499" s="97"/>
      <c r="JTT499" s="97"/>
      <c r="JTU499" s="97"/>
      <c r="JTV499" s="97"/>
      <c r="JTW499" s="97"/>
      <c r="JTX499" s="97"/>
      <c r="JTY499" s="97"/>
      <c r="JUA499" s="94"/>
      <c r="JUB499" s="94"/>
      <c r="JUC499" s="95"/>
      <c r="JUD499" s="96"/>
      <c r="JUE499" s="97"/>
      <c r="JUF499" s="97"/>
      <c r="JUG499" s="97"/>
      <c r="JUH499" s="97"/>
      <c r="JUI499" s="97"/>
      <c r="JUJ499" s="97"/>
      <c r="JUK499" s="97"/>
      <c r="JUL499" s="97"/>
      <c r="JUN499" s="94"/>
      <c r="JUO499" s="94"/>
      <c r="JUP499" s="95"/>
      <c r="JUQ499" s="96"/>
      <c r="JUR499" s="97"/>
      <c r="JUS499" s="97"/>
      <c r="JUT499" s="97"/>
      <c r="JUU499" s="97"/>
      <c r="JUV499" s="97"/>
      <c r="JUW499" s="97"/>
      <c r="JUX499" s="97"/>
      <c r="JUY499" s="97"/>
      <c r="JVA499" s="94"/>
      <c r="JVB499" s="94"/>
      <c r="JVC499" s="95"/>
      <c r="JVD499" s="96"/>
      <c r="JVE499" s="97"/>
      <c r="JVF499" s="97"/>
      <c r="JVG499" s="97"/>
      <c r="JVH499" s="97"/>
      <c r="JVI499" s="97"/>
      <c r="JVJ499" s="97"/>
      <c r="JVK499" s="97"/>
      <c r="JVL499" s="97"/>
      <c r="JVN499" s="94"/>
      <c r="JVO499" s="94"/>
      <c r="JVP499" s="95"/>
      <c r="JVQ499" s="96"/>
      <c r="JVR499" s="97"/>
      <c r="JVS499" s="97"/>
      <c r="JVT499" s="97"/>
      <c r="JVU499" s="97"/>
      <c r="JVV499" s="97"/>
      <c r="JVW499" s="97"/>
      <c r="JVX499" s="97"/>
      <c r="JVY499" s="97"/>
      <c r="JWA499" s="94"/>
      <c r="JWB499" s="94"/>
      <c r="JWC499" s="95"/>
      <c r="JWD499" s="96"/>
      <c r="JWE499" s="97"/>
      <c r="JWF499" s="97"/>
      <c r="JWG499" s="97"/>
      <c r="JWH499" s="97"/>
      <c r="JWI499" s="97"/>
      <c r="JWJ499" s="97"/>
      <c r="JWK499" s="97"/>
      <c r="JWL499" s="97"/>
      <c r="JWN499" s="94"/>
      <c r="JWO499" s="94"/>
      <c r="JWP499" s="95"/>
      <c r="JWQ499" s="96"/>
      <c r="JWR499" s="97"/>
      <c r="JWS499" s="97"/>
      <c r="JWT499" s="97"/>
      <c r="JWU499" s="97"/>
      <c r="JWV499" s="97"/>
      <c r="JWW499" s="97"/>
      <c r="JWX499" s="97"/>
      <c r="JWY499" s="97"/>
      <c r="JXA499" s="94"/>
      <c r="JXB499" s="94"/>
      <c r="JXC499" s="95"/>
      <c r="JXD499" s="96"/>
      <c r="JXE499" s="97"/>
      <c r="JXF499" s="97"/>
      <c r="JXG499" s="97"/>
      <c r="JXH499" s="97"/>
      <c r="JXI499" s="97"/>
      <c r="JXJ499" s="97"/>
      <c r="JXK499" s="97"/>
      <c r="JXL499" s="97"/>
      <c r="JXN499" s="94"/>
      <c r="JXO499" s="94"/>
      <c r="JXP499" s="95"/>
      <c r="JXQ499" s="96"/>
      <c r="JXR499" s="97"/>
      <c r="JXS499" s="97"/>
      <c r="JXT499" s="97"/>
      <c r="JXU499" s="97"/>
      <c r="JXV499" s="97"/>
      <c r="JXW499" s="97"/>
      <c r="JXX499" s="97"/>
      <c r="JXY499" s="97"/>
      <c r="JYA499" s="94"/>
      <c r="JYB499" s="94"/>
      <c r="JYC499" s="95"/>
      <c r="JYD499" s="96"/>
      <c r="JYE499" s="97"/>
      <c r="JYF499" s="97"/>
      <c r="JYG499" s="97"/>
      <c r="JYH499" s="97"/>
      <c r="JYI499" s="97"/>
      <c r="JYJ499" s="97"/>
      <c r="JYK499" s="97"/>
      <c r="JYL499" s="97"/>
      <c r="JYN499" s="94"/>
      <c r="JYO499" s="94"/>
      <c r="JYP499" s="95"/>
      <c r="JYQ499" s="96"/>
      <c r="JYR499" s="97"/>
      <c r="JYS499" s="97"/>
      <c r="JYT499" s="97"/>
      <c r="JYU499" s="97"/>
      <c r="JYV499" s="97"/>
      <c r="JYW499" s="97"/>
      <c r="JYX499" s="97"/>
      <c r="JYY499" s="97"/>
      <c r="JZA499" s="94"/>
      <c r="JZB499" s="94"/>
      <c r="JZC499" s="95"/>
      <c r="JZD499" s="96"/>
      <c r="JZE499" s="97"/>
      <c r="JZF499" s="97"/>
      <c r="JZG499" s="97"/>
      <c r="JZH499" s="97"/>
      <c r="JZI499" s="97"/>
      <c r="JZJ499" s="97"/>
      <c r="JZK499" s="97"/>
      <c r="JZL499" s="97"/>
      <c r="JZN499" s="94"/>
      <c r="JZO499" s="94"/>
      <c r="JZP499" s="95"/>
      <c r="JZQ499" s="96"/>
      <c r="JZR499" s="97"/>
      <c r="JZS499" s="97"/>
      <c r="JZT499" s="97"/>
      <c r="JZU499" s="97"/>
      <c r="JZV499" s="97"/>
      <c r="JZW499" s="97"/>
      <c r="JZX499" s="97"/>
      <c r="JZY499" s="97"/>
      <c r="KAA499" s="94"/>
      <c r="KAB499" s="94"/>
      <c r="KAC499" s="95"/>
      <c r="KAD499" s="96"/>
      <c r="KAE499" s="97"/>
      <c r="KAF499" s="97"/>
      <c r="KAG499" s="97"/>
      <c r="KAH499" s="97"/>
      <c r="KAI499" s="97"/>
      <c r="KAJ499" s="97"/>
      <c r="KAK499" s="97"/>
      <c r="KAL499" s="97"/>
      <c r="KAN499" s="94"/>
      <c r="KAO499" s="94"/>
      <c r="KAP499" s="95"/>
      <c r="KAQ499" s="96"/>
      <c r="KAR499" s="97"/>
      <c r="KAS499" s="97"/>
      <c r="KAT499" s="97"/>
      <c r="KAU499" s="97"/>
      <c r="KAV499" s="97"/>
      <c r="KAW499" s="97"/>
      <c r="KAX499" s="97"/>
      <c r="KAY499" s="97"/>
      <c r="KBA499" s="94"/>
      <c r="KBB499" s="94"/>
      <c r="KBC499" s="95"/>
      <c r="KBD499" s="96"/>
      <c r="KBE499" s="97"/>
      <c r="KBF499" s="97"/>
      <c r="KBG499" s="97"/>
      <c r="KBH499" s="97"/>
      <c r="KBI499" s="97"/>
      <c r="KBJ499" s="97"/>
      <c r="KBK499" s="97"/>
      <c r="KBL499" s="97"/>
      <c r="KBN499" s="94"/>
      <c r="KBO499" s="94"/>
      <c r="KBP499" s="95"/>
      <c r="KBQ499" s="96"/>
      <c r="KBR499" s="97"/>
      <c r="KBS499" s="97"/>
      <c r="KBT499" s="97"/>
      <c r="KBU499" s="97"/>
      <c r="KBV499" s="97"/>
      <c r="KBW499" s="97"/>
      <c r="KBX499" s="97"/>
      <c r="KBY499" s="97"/>
      <c r="KCA499" s="94"/>
      <c r="KCB499" s="94"/>
      <c r="KCC499" s="95"/>
      <c r="KCD499" s="96"/>
      <c r="KCE499" s="97"/>
      <c r="KCF499" s="97"/>
      <c r="KCG499" s="97"/>
      <c r="KCH499" s="97"/>
      <c r="KCI499" s="97"/>
      <c r="KCJ499" s="97"/>
      <c r="KCK499" s="97"/>
      <c r="KCL499" s="97"/>
      <c r="KCN499" s="94"/>
      <c r="KCO499" s="94"/>
      <c r="KCP499" s="95"/>
      <c r="KCQ499" s="96"/>
      <c r="KCR499" s="97"/>
      <c r="KCS499" s="97"/>
      <c r="KCT499" s="97"/>
      <c r="KCU499" s="97"/>
      <c r="KCV499" s="97"/>
      <c r="KCW499" s="97"/>
      <c r="KCX499" s="97"/>
      <c r="KCY499" s="97"/>
      <c r="KDA499" s="94"/>
      <c r="KDB499" s="94"/>
      <c r="KDC499" s="95"/>
      <c r="KDD499" s="96"/>
      <c r="KDE499" s="97"/>
      <c r="KDF499" s="97"/>
      <c r="KDG499" s="97"/>
      <c r="KDH499" s="97"/>
      <c r="KDI499" s="97"/>
      <c r="KDJ499" s="97"/>
      <c r="KDK499" s="97"/>
      <c r="KDL499" s="97"/>
      <c r="KDN499" s="94"/>
      <c r="KDO499" s="94"/>
      <c r="KDP499" s="95"/>
      <c r="KDQ499" s="96"/>
      <c r="KDR499" s="97"/>
      <c r="KDS499" s="97"/>
      <c r="KDT499" s="97"/>
      <c r="KDU499" s="97"/>
      <c r="KDV499" s="97"/>
      <c r="KDW499" s="97"/>
      <c r="KDX499" s="97"/>
      <c r="KDY499" s="97"/>
      <c r="KEA499" s="94"/>
      <c r="KEB499" s="94"/>
      <c r="KEC499" s="95"/>
      <c r="KED499" s="96"/>
      <c r="KEE499" s="97"/>
      <c r="KEF499" s="97"/>
      <c r="KEG499" s="97"/>
      <c r="KEH499" s="97"/>
      <c r="KEI499" s="97"/>
      <c r="KEJ499" s="97"/>
      <c r="KEK499" s="97"/>
      <c r="KEL499" s="97"/>
      <c r="KEN499" s="94"/>
      <c r="KEO499" s="94"/>
      <c r="KEP499" s="95"/>
      <c r="KEQ499" s="96"/>
      <c r="KER499" s="97"/>
      <c r="KES499" s="97"/>
      <c r="KET499" s="97"/>
      <c r="KEU499" s="97"/>
      <c r="KEV499" s="97"/>
      <c r="KEW499" s="97"/>
      <c r="KEX499" s="97"/>
      <c r="KEY499" s="97"/>
      <c r="KFA499" s="94"/>
      <c r="KFB499" s="94"/>
      <c r="KFC499" s="95"/>
      <c r="KFD499" s="96"/>
      <c r="KFE499" s="97"/>
      <c r="KFF499" s="97"/>
      <c r="KFG499" s="97"/>
      <c r="KFH499" s="97"/>
      <c r="KFI499" s="97"/>
      <c r="KFJ499" s="97"/>
      <c r="KFK499" s="97"/>
      <c r="KFL499" s="97"/>
      <c r="KFN499" s="94"/>
      <c r="KFO499" s="94"/>
      <c r="KFP499" s="95"/>
      <c r="KFQ499" s="96"/>
      <c r="KFR499" s="97"/>
      <c r="KFS499" s="97"/>
      <c r="KFT499" s="97"/>
      <c r="KFU499" s="97"/>
      <c r="KFV499" s="97"/>
      <c r="KFW499" s="97"/>
      <c r="KFX499" s="97"/>
      <c r="KFY499" s="97"/>
      <c r="KGA499" s="94"/>
      <c r="KGB499" s="94"/>
      <c r="KGC499" s="95"/>
      <c r="KGD499" s="96"/>
      <c r="KGE499" s="97"/>
      <c r="KGF499" s="97"/>
      <c r="KGG499" s="97"/>
      <c r="KGH499" s="97"/>
      <c r="KGI499" s="97"/>
      <c r="KGJ499" s="97"/>
      <c r="KGK499" s="97"/>
      <c r="KGL499" s="97"/>
      <c r="KGN499" s="94"/>
      <c r="KGO499" s="94"/>
      <c r="KGP499" s="95"/>
      <c r="KGQ499" s="96"/>
      <c r="KGR499" s="97"/>
      <c r="KGS499" s="97"/>
      <c r="KGT499" s="97"/>
      <c r="KGU499" s="97"/>
      <c r="KGV499" s="97"/>
      <c r="KGW499" s="97"/>
      <c r="KGX499" s="97"/>
      <c r="KGY499" s="97"/>
      <c r="KHA499" s="94"/>
      <c r="KHB499" s="94"/>
      <c r="KHC499" s="95"/>
      <c r="KHD499" s="96"/>
      <c r="KHE499" s="97"/>
      <c r="KHF499" s="97"/>
      <c r="KHG499" s="97"/>
      <c r="KHH499" s="97"/>
      <c r="KHI499" s="97"/>
      <c r="KHJ499" s="97"/>
      <c r="KHK499" s="97"/>
      <c r="KHL499" s="97"/>
      <c r="KHN499" s="94"/>
      <c r="KHO499" s="94"/>
      <c r="KHP499" s="95"/>
      <c r="KHQ499" s="96"/>
      <c r="KHR499" s="97"/>
      <c r="KHS499" s="97"/>
      <c r="KHT499" s="97"/>
      <c r="KHU499" s="97"/>
      <c r="KHV499" s="97"/>
      <c r="KHW499" s="97"/>
      <c r="KHX499" s="97"/>
      <c r="KHY499" s="97"/>
      <c r="KIA499" s="94"/>
      <c r="KIB499" s="94"/>
      <c r="KIC499" s="95"/>
      <c r="KID499" s="96"/>
      <c r="KIE499" s="97"/>
      <c r="KIF499" s="97"/>
      <c r="KIG499" s="97"/>
      <c r="KIH499" s="97"/>
      <c r="KII499" s="97"/>
      <c r="KIJ499" s="97"/>
      <c r="KIK499" s="97"/>
      <c r="KIL499" s="97"/>
      <c r="KIN499" s="94"/>
      <c r="KIO499" s="94"/>
      <c r="KIP499" s="95"/>
      <c r="KIQ499" s="96"/>
      <c r="KIR499" s="97"/>
      <c r="KIS499" s="97"/>
      <c r="KIT499" s="97"/>
      <c r="KIU499" s="97"/>
      <c r="KIV499" s="97"/>
      <c r="KIW499" s="97"/>
      <c r="KIX499" s="97"/>
      <c r="KIY499" s="97"/>
      <c r="KJA499" s="94"/>
      <c r="KJB499" s="94"/>
      <c r="KJC499" s="95"/>
      <c r="KJD499" s="96"/>
      <c r="KJE499" s="97"/>
      <c r="KJF499" s="97"/>
      <c r="KJG499" s="97"/>
      <c r="KJH499" s="97"/>
      <c r="KJI499" s="97"/>
      <c r="KJJ499" s="97"/>
      <c r="KJK499" s="97"/>
      <c r="KJL499" s="97"/>
      <c r="KJN499" s="94"/>
      <c r="KJO499" s="94"/>
      <c r="KJP499" s="95"/>
      <c r="KJQ499" s="96"/>
      <c r="KJR499" s="97"/>
      <c r="KJS499" s="97"/>
      <c r="KJT499" s="97"/>
      <c r="KJU499" s="97"/>
      <c r="KJV499" s="97"/>
      <c r="KJW499" s="97"/>
      <c r="KJX499" s="97"/>
      <c r="KJY499" s="97"/>
      <c r="KKA499" s="94"/>
      <c r="KKB499" s="94"/>
      <c r="KKC499" s="95"/>
      <c r="KKD499" s="96"/>
      <c r="KKE499" s="97"/>
      <c r="KKF499" s="97"/>
      <c r="KKG499" s="97"/>
      <c r="KKH499" s="97"/>
      <c r="KKI499" s="97"/>
      <c r="KKJ499" s="97"/>
      <c r="KKK499" s="97"/>
      <c r="KKL499" s="97"/>
      <c r="KKN499" s="94"/>
      <c r="KKO499" s="94"/>
      <c r="KKP499" s="95"/>
      <c r="KKQ499" s="96"/>
      <c r="KKR499" s="97"/>
      <c r="KKS499" s="97"/>
      <c r="KKT499" s="97"/>
      <c r="KKU499" s="97"/>
      <c r="KKV499" s="97"/>
      <c r="KKW499" s="97"/>
      <c r="KKX499" s="97"/>
      <c r="KKY499" s="97"/>
      <c r="KLA499" s="94"/>
      <c r="KLB499" s="94"/>
      <c r="KLC499" s="95"/>
      <c r="KLD499" s="96"/>
      <c r="KLE499" s="97"/>
      <c r="KLF499" s="97"/>
      <c r="KLG499" s="97"/>
      <c r="KLH499" s="97"/>
      <c r="KLI499" s="97"/>
      <c r="KLJ499" s="97"/>
      <c r="KLK499" s="97"/>
      <c r="KLL499" s="97"/>
      <c r="KLN499" s="94"/>
      <c r="KLO499" s="94"/>
      <c r="KLP499" s="95"/>
      <c r="KLQ499" s="96"/>
      <c r="KLR499" s="97"/>
      <c r="KLS499" s="97"/>
      <c r="KLT499" s="97"/>
      <c r="KLU499" s="97"/>
      <c r="KLV499" s="97"/>
      <c r="KLW499" s="97"/>
      <c r="KLX499" s="97"/>
      <c r="KLY499" s="97"/>
      <c r="KMA499" s="94"/>
      <c r="KMB499" s="94"/>
      <c r="KMC499" s="95"/>
      <c r="KMD499" s="96"/>
      <c r="KME499" s="97"/>
      <c r="KMF499" s="97"/>
      <c r="KMG499" s="97"/>
      <c r="KMH499" s="97"/>
      <c r="KMI499" s="97"/>
      <c r="KMJ499" s="97"/>
      <c r="KMK499" s="97"/>
      <c r="KML499" s="97"/>
      <c r="KMN499" s="94"/>
      <c r="KMO499" s="94"/>
      <c r="KMP499" s="95"/>
      <c r="KMQ499" s="96"/>
      <c r="KMR499" s="97"/>
      <c r="KMS499" s="97"/>
      <c r="KMT499" s="97"/>
      <c r="KMU499" s="97"/>
      <c r="KMV499" s="97"/>
      <c r="KMW499" s="97"/>
      <c r="KMX499" s="97"/>
      <c r="KMY499" s="97"/>
      <c r="KNA499" s="94"/>
      <c r="KNB499" s="94"/>
      <c r="KNC499" s="95"/>
      <c r="KND499" s="96"/>
      <c r="KNE499" s="97"/>
      <c r="KNF499" s="97"/>
      <c r="KNG499" s="97"/>
      <c r="KNH499" s="97"/>
      <c r="KNI499" s="97"/>
      <c r="KNJ499" s="97"/>
      <c r="KNK499" s="97"/>
      <c r="KNL499" s="97"/>
      <c r="KNN499" s="94"/>
      <c r="KNO499" s="94"/>
      <c r="KNP499" s="95"/>
      <c r="KNQ499" s="96"/>
      <c r="KNR499" s="97"/>
      <c r="KNS499" s="97"/>
      <c r="KNT499" s="97"/>
      <c r="KNU499" s="97"/>
      <c r="KNV499" s="97"/>
      <c r="KNW499" s="97"/>
      <c r="KNX499" s="97"/>
      <c r="KNY499" s="97"/>
      <c r="KOA499" s="94"/>
      <c r="KOB499" s="94"/>
      <c r="KOC499" s="95"/>
      <c r="KOD499" s="96"/>
      <c r="KOE499" s="97"/>
      <c r="KOF499" s="97"/>
      <c r="KOG499" s="97"/>
      <c r="KOH499" s="97"/>
      <c r="KOI499" s="97"/>
      <c r="KOJ499" s="97"/>
      <c r="KOK499" s="97"/>
      <c r="KOL499" s="97"/>
      <c r="KON499" s="94"/>
      <c r="KOO499" s="94"/>
      <c r="KOP499" s="95"/>
      <c r="KOQ499" s="96"/>
      <c r="KOR499" s="97"/>
      <c r="KOS499" s="97"/>
      <c r="KOT499" s="97"/>
      <c r="KOU499" s="97"/>
      <c r="KOV499" s="97"/>
      <c r="KOW499" s="97"/>
      <c r="KOX499" s="97"/>
      <c r="KOY499" s="97"/>
      <c r="KPA499" s="94"/>
      <c r="KPB499" s="94"/>
      <c r="KPC499" s="95"/>
      <c r="KPD499" s="96"/>
      <c r="KPE499" s="97"/>
      <c r="KPF499" s="97"/>
      <c r="KPG499" s="97"/>
      <c r="KPH499" s="97"/>
      <c r="KPI499" s="97"/>
      <c r="KPJ499" s="97"/>
      <c r="KPK499" s="97"/>
      <c r="KPL499" s="97"/>
      <c r="KPN499" s="94"/>
      <c r="KPO499" s="94"/>
      <c r="KPP499" s="95"/>
      <c r="KPQ499" s="96"/>
      <c r="KPR499" s="97"/>
      <c r="KPS499" s="97"/>
      <c r="KPT499" s="97"/>
      <c r="KPU499" s="97"/>
      <c r="KPV499" s="97"/>
      <c r="KPW499" s="97"/>
      <c r="KPX499" s="97"/>
      <c r="KPY499" s="97"/>
      <c r="KQA499" s="94"/>
      <c r="KQB499" s="94"/>
      <c r="KQC499" s="95"/>
      <c r="KQD499" s="96"/>
      <c r="KQE499" s="97"/>
      <c r="KQF499" s="97"/>
      <c r="KQG499" s="97"/>
      <c r="KQH499" s="97"/>
      <c r="KQI499" s="97"/>
      <c r="KQJ499" s="97"/>
      <c r="KQK499" s="97"/>
      <c r="KQL499" s="97"/>
      <c r="KQN499" s="94"/>
      <c r="KQO499" s="94"/>
      <c r="KQP499" s="95"/>
      <c r="KQQ499" s="96"/>
      <c r="KQR499" s="97"/>
      <c r="KQS499" s="97"/>
      <c r="KQT499" s="97"/>
      <c r="KQU499" s="97"/>
      <c r="KQV499" s="97"/>
      <c r="KQW499" s="97"/>
      <c r="KQX499" s="97"/>
      <c r="KQY499" s="97"/>
      <c r="KRA499" s="94"/>
      <c r="KRB499" s="94"/>
      <c r="KRC499" s="95"/>
      <c r="KRD499" s="96"/>
      <c r="KRE499" s="97"/>
      <c r="KRF499" s="97"/>
      <c r="KRG499" s="97"/>
      <c r="KRH499" s="97"/>
      <c r="KRI499" s="97"/>
      <c r="KRJ499" s="97"/>
      <c r="KRK499" s="97"/>
      <c r="KRL499" s="97"/>
      <c r="KRN499" s="94"/>
      <c r="KRO499" s="94"/>
      <c r="KRP499" s="95"/>
      <c r="KRQ499" s="96"/>
      <c r="KRR499" s="97"/>
      <c r="KRS499" s="97"/>
      <c r="KRT499" s="97"/>
      <c r="KRU499" s="97"/>
      <c r="KRV499" s="97"/>
      <c r="KRW499" s="97"/>
      <c r="KRX499" s="97"/>
      <c r="KRY499" s="97"/>
      <c r="KSA499" s="94"/>
      <c r="KSB499" s="94"/>
      <c r="KSC499" s="95"/>
      <c r="KSD499" s="96"/>
      <c r="KSE499" s="97"/>
      <c r="KSF499" s="97"/>
      <c r="KSG499" s="97"/>
      <c r="KSH499" s="97"/>
      <c r="KSI499" s="97"/>
      <c r="KSJ499" s="97"/>
      <c r="KSK499" s="97"/>
      <c r="KSL499" s="97"/>
      <c r="KSN499" s="94"/>
      <c r="KSO499" s="94"/>
      <c r="KSP499" s="95"/>
      <c r="KSQ499" s="96"/>
      <c r="KSR499" s="97"/>
      <c r="KSS499" s="97"/>
      <c r="KST499" s="97"/>
      <c r="KSU499" s="97"/>
      <c r="KSV499" s="97"/>
      <c r="KSW499" s="97"/>
      <c r="KSX499" s="97"/>
      <c r="KSY499" s="97"/>
      <c r="KTA499" s="94"/>
      <c r="KTB499" s="94"/>
      <c r="KTC499" s="95"/>
      <c r="KTD499" s="96"/>
      <c r="KTE499" s="97"/>
      <c r="KTF499" s="97"/>
      <c r="KTG499" s="97"/>
      <c r="KTH499" s="97"/>
      <c r="KTI499" s="97"/>
      <c r="KTJ499" s="97"/>
      <c r="KTK499" s="97"/>
      <c r="KTL499" s="97"/>
      <c r="KTN499" s="94"/>
      <c r="KTO499" s="94"/>
      <c r="KTP499" s="95"/>
      <c r="KTQ499" s="96"/>
      <c r="KTR499" s="97"/>
      <c r="KTS499" s="97"/>
      <c r="KTT499" s="97"/>
      <c r="KTU499" s="97"/>
      <c r="KTV499" s="97"/>
      <c r="KTW499" s="97"/>
      <c r="KTX499" s="97"/>
      <c r="KTY499" s="97"/>
      <c r="KUA499" s="94"/>
      <c r="KUB499" s="94"/>
      <c r="KUC499" s="95"/>
      <c r="KUD499" s="96"/>
      <c r="KUE499" s="97"/>
      <c r="KUF499" s="97"/>
      <c r="KUG499" s="97"/>
      <c r="KUH499" s="97"/>
      <c r="KUI499" s="97"/>
      <c r="KUJ499" s="97"/>
      <c r="KUK499" s="97"/>
      <c r="KUL499" s="97"/>
      <c r="KUN499" s="94"/>
      <c r="KUO499" s="94"/>
      <c r="KUP499" s="95"/>
      <c r="KUQ499" s="96"/>
      <c r="KUR499" s="97"/>
      <c r="KUS499" s="97"/>
      <c r="KUT499" s="97"/>
      <c r="KUU499" s="97"/>
      <c r="KUV499" s="97"/>
      <c r="KUW499" s="97"/>
      <c r="KUX499" s="97"/>
      <c r="KUY499" s="97"/>
      <c r="KVA499" s="94"/>
      <c r="KVB499" s="94"/>
      <c r="KVC499" s="95"/>
      <c r="KVD499" s="96"/>
      <c r="KVE499" s="97"/>
      <c r="KVF499" s="97"/>
      <c r="KVG499" s="97"/>
      <c r="KVH499" s="97"/>
      <c r="KVI499" s="97"/>
      <c r="KVJ499" s="97"/>
      <c r="KVK499" s="97"/>
      <c r="KVL499" s="97"/>
      <c r="KVN499" s="94"/>
      <c r="KVO499" s="94"/>
      <c r="KVP499" s="95"/>
      <c r="KVQ499" s="96"/>
      <c r="KVR499" s="97"/>
      <c r="KVS499" s="97"/>
      <c r="KVT499" s="97"/>
      <c r="KVU499" s="97"/>
      <c r="KVV499" s="97"/>
      <c r="KVW499" s="97"/>
      <c r="KVX499" s="97"/>
      <c r="KVY499" s="97"/>
      <c r="KWA499" s="94"/>
      <c r="KWB499" s="94"/>
      <c r="KWC499" s="95"/>
      <c r="KWD499" s="96"/>
      <c r="KWE499" s="97"/>
      <c r="KWF499" s="97"/>
      <c r="KWG499" s="97"/>
      <c r="KWH499" s="97"/>
      <c r="KWI499" s="97"/>
      <c r="KWJ499" s="97"/>
      <c r="KWK499" s="97"/>
      <c r="KWL499" s="97"/>
      <c r="KWN499" s="94"/>
      <c r="KWO499" s="94"/>
      <c r="KWP499" s="95"/>
      <c r="KWQ499" s="96"/>
      <c r="KWR499" s="97"/>
      <c r="KWS499" s="97"/>
      <c r="KWT499" s="97"/>
      <c r="KWU499" s="97"/>
      <c r="KWV499" s="97"/>
      <c r="KWW499" s="97"/>
      <c r="KWX499" s="97"/>
      <c r="KWY499" s="97"/>
      <c r="KXA499" s="94"/>
      <c r="KXB499" s="94"/>
      <c r="KXC499" s="95"/>
      <c r="KXD499" s="96"/>
      <c r="KXE499" s="97"/>
      <c r="KXF499" s="97"/>
      <c r="KXG499" s="97"/>
      <c r="KXH499" s="97"/>
      <c r="KXI499" s="97"/>
      <c r="KXJ499" s="97"/>
      <c r="KXK499" s="97"/>
      <c r="KXL499" s="97"/>
      <c r="KXN499" s="94"/>
      <c r="KXO499" s="94"/>
      <c r="KXP499" s="95"/>
      <c r="KXQ499" s="96"/>
      <c r="KXR499" s="97"/>
      <c r="KXS499" s="97"/>
      <c r="KXT499" s="97"/>
      <c r="KXU499" s="97"/>
      <c r="KXV499" s="97"/>
      <c r="KXW499" s="97"/>
      <c r="KXX499" s="97"/>
      <c r="KXY499" s="97"/>
      <c r="KYA499" s="94"/>
      <c r="KYB499" s="94"/>
      <c r="KYC499" s="95"/>
      <c r="KYD499" s="96"/>
      <c r="KYE499" s="97"/>
      <c r="KYF499" s="97"/>
      <c r="KYG499" s="97"/>
      <c r="KYH499" s="97"/>
      <c r="KYI499" s="97"/>
      <c r="KYJ499" s="97"/>
      <c r="KYK499" s="97"/>
      <c r="KYL499" s="97"/>
      <c r="KYN499" s="94"/>
      <c r="KYO499" s="94"/>
      <c r="KYP499" s="95"/>
      <c r="KYQ499" s="96"/>
      <c r="KYR499" s="97"/>
      <c r="KYS499" s="97"/>
      <c r="KYT499" s="97"/>
      <c r="KYU499" s="97"/>
      <c r="KYV499" s="97"/>
      <c r="KYW499" s="97"/>
      <c r="KYX499" s="97"/>
      <c r="KYY499" s="97"/>
      <c r="KZA499" s="94"/>
      <c r="KZB499" s="94"/>
      <c r="KZC499" s="95"/>
      <c r="KZD499" s="96"/>
      <c r="KZE499" s="97"/>
      <c r="KZF499" s="97"/>
      <c r="KZG499" s="97"/>
      <c r="KZH499" s="97"/>
      <c r="KZI499" s="97"/>
      <c r="KZJ499" s="97"/>
      <c r="KZK499" s="97"/>
      <c r="KZL499" s="97"/>
      <c r="KZN499" s="94"/>
      <c r="KZO499" s="94"/>
      <c r="KZP499" s="95"/>
      <c r="KZQ499" s="96"/>
      <c r="KZR499" s="97"/>
      <c r="KZS499" s="97"/>
      <c r="KZT499" s="97"/>
      <c r="KZU499" s="97"/>
      <c r="KZV499" s="97"/>
      <c r="KZW499" s="97"/>
      <c r="KZX499" s="97"/>
      <c r="KZY499" s="97"/>
      <c r="LAA499" s="94"/>
      <c r="LAB499" s="94"/>
      <c r="LAC499" s="95"/>
      <c r="LAD499" s="96"/>
      <c r="LAE499" s="97"/>
      <c r="LAF499" s="97"/>
      <c r="LAG499" s="97"/>
      <c r="LAH499" s="97"/>
      <c r="LAI499" s="97"/>
      <c r="LAJ499" s="97"/>
      <c r="LAK499" s="97"/>
      <c r="LAL499" s="97"/>
      <c r="LAN499" s="94"/>
      <c r="LAO499" s="94"/>
      <c r="LAP499" s="95"/>
      <c r="LAQ499" s="96"/>
      <c r="LAR499" s="97"/>
      <c r="LAS499" s="97"/>
      <c r="LAT499" s="97"/>
      <c r="LAU499" s="97"/>
      <c r="LAV499" s="97"/>
      <c r="LAW499" s="97"/>
      <c r="LAX499" s="97"/>
      <c r="LAY499" s="97"/>
      <c r="LBA499" s="94"/>
      <c r="LBB499" s="94"/>
      <c r="LBC499" s="95"/>
      <c r="LBD499" s="96"/>
      <c r="LBE499" s="97"/>
      <c r="LBF499" s="97"/>
      <c r="LBG499" s="97"/>
      <c r="LBH499" s="97"/>
      <c r="LBI499" s="97"/>
      <c r="LBJ499" s="97"/>
      <c r="LBK499" s="97"/>
      <c r="LBL499" s="97"/>
      <c r="LBN499" s="94"/>
      <c r="LBO499" s="94"/>
      <c r="LBP499" s="95"/>
      <c r="LBQ499" s="96"/>
      <c r="LBR499" s="97"/>
      <c r="LBS499" s="97"/>
      <c r="LBT499" s="97"/>
      <c r="LBU499" s="97"/>
      <c r="LBV499" s="97"/>
      <c r="LBW499" s="97"/>
      <c r="LBX499" s="97"/>
      <c r="LBY499" s="97"/>
      <c r="LCA499" s="94"/>
      <c r="LCB499" s="94"/>
      <c r="LCC499" s="95"/>
      <c r="LCD499" s="96"/>
      <c r="LCE499" s="97"/>
      <c r="LCF499" s="97"/>
      <c r="LCG499" s="97"/>
      <c r="LCH499" s="97"/>
      <c r="LCI499" s="97"/>
      <c r="LCJ499" s="97"/>
      <c r="LCK499" s="97"/>
      <c r="LCL499" s="97"/>
      <c r="LCN499" s="94"/>
      <c r="LCO499" s="94"/>
      <c r="LCP499" s="95"/>
      <c r="LCQ499" s="96"/>
      <c r="LCR499" s="97"/>
      <c r="LCS499" s="97"/>
      <c r="LCT499" s="97"/>
      <c r="LCU499" s="97"/>
      <c r="LCV499" s="97"/>
      <c r="LCW499" s="97"/>
      <c r="LCX499" s="97"/>
      <c r="LCY499" s="97"/>
      <c r="LDA499" s="94"/>
      <c r="LDB499" s="94"/>
      <c r="LDC499" s="95"/>
      <c r="LDD499" s="96"/>
      <c r="LDE499" s="97"/>
      <c r="LDF499" s="97"/>
      <c r="LDG499" s="97"/>
      <c r="LDH499" s="97"/>
      <c r="LDI499" s="97"/>
      <c r="LDJ499" s="97"/>
      <c r="LDK499" s="97"/>
      <c r="LDL499" s="97"/>
      <c r="LDN499" s="94"/>
      <c r="LDO499" s="94"/>
      <c r="LDP499" s="95"/>
      <c r="LDQ499" s="96"/>
      <c r="LDR499" s="97"/>
      <c r="LDS499" s="97"/>
      <c r="LDT499" s="97"/>
      <c r="LDU499" s="97"/>
      <c r="LDV499" s="97"/>
      <c r="LDW499" s="97"/>
      <c r="LDX499" s="97"/>
      <c r="LDY499" s="97"/>
      <c r="LEA499" s="94"/>
      <c r="LEB499" s="94"/>
      <c r="LEC499" s="95"/>
      <c r="LED499" s="96"/>
      <c r="LEE499" s="97"/>
      <c r="LEF499" s="97"/>
      <c r="LEG499" s="97"/>
      <c r="LEH499" s="97"/>
      <c r="LEI499" s="97"/>
      <c r="LEJ499" s="97"/>
      <c r="LEK499" s="97"/>
      <c r="LEL499" s="97"/>
      <c r="LEN499" s="94"/>
      <c r="LEO499" s="94"/>
      <c r="LEP499" s="95"/>
      <c r="LEQ499" s="96"/>
      <c r="LER499" s="97"/>
      <c r="LES499" s="97"/>
      <c r="LET499" s="97"/>
      <c r="LEU499" s="97"/>
      <c r="LEV499" s="97"/>
      <c r="LEW499" s="97"/>
      <c r="LEX499" s="97"/>
      <c r="LEY499" s="97"/>
      <c r="LFA499" s="94"/>
      <c r="LFB499" s="94"/>
      <c r="LFC499" s="95"/>
      <c r="LFD499" s="96"/>
      <c r="LFE499" s="97"/>
      <c r="LFF499" s="97"/>
      <c r="LFG499" s="97"/>
      <c r="LFH499" s="97"/>
      <c r="LFI499" s="97"/>
      <c r="LFJ499" s="97"/>
      <c r="LFK499" s="97"/>
      <c r="LFL499" s="97"/>
      <c r="LFN499" s="94"/>
      <c r="LFO499" s="94"/>
      <c r="LFP499" s="95"/>
      <c r="LFQ499" s="96"/>
      <c r="LFR499" s="97"/>
      <c r="LFS499" s="97"/>
      <c r="LFT499" s="97"/>
      <c r="LFU499" s="97"/>
      <c r="LFV499" s="97"/>
      <c r="LFW499" s="97"/>
      <c r="LFX499" s="97"/>
      <c r="LFY499" s="97"/>
      <c r="LGA499" s="94"/>
      <c r="LGB499" s="94"/>
      <c r="LGC499" s="95"/>
      <c r="LGD499" s="96"/>
      <c r="LGE499" s="97"/>
      <c r="LGF499" s="97"/>
      <c r="LGG499" s="97"/>
      <c r="LGH499" s="97"/>
      <c r="LGI499" s="97"/>
      <c r="LGJ499" s="97"/>
      <c r="LGK499" s="97"/>
      <c r="LGL499" s="97"/>
      <c r="LGN499" s="94"/>
      <c r="LGO499" s="94"/>
      <c r="LGP499" s="95"/>
      <c r="LGQ499" s="96"/>
      <c r="LGR499" s="97"/>
      <c r="LGS499" s="97"/>
      <c r="LGT499" s="97"/>
      <c r="LGU499" s="97"/>
      <c r="LGV499" s="97"/>
      <c r="LGW499" s="97"/>
      <c r="LGX499" s="97"/>
      <c r="LGY499" s="97"/>
      <c r="LHA499" s="94"/>
      <c r="LHB499" s="94"/>
      <c r="LHC499" s="95"/>
      <c r="LHD499" s="96"/>
      <c r="LHE499" s="97"/>
      <c r="LHF499" s="97"/>
      <c r="LHG499" s="97"/>
      <c r="LHH499" s="97"/>
      <c r="LHI499" s="97"/>
      <c r="LHJ499" s="97"/>
      <c r="LHK499" s="97"/>
      <c r="LHL499" s="97"/>
      <c r="LHN499" s="94"/>
      <c r="LHO499" s="94"/>
      <c r="LHP499" s="95"/>
      <c r="LHQ499" s="96"/>
      <c r="LHR499" s="97"/>
      <c r="LHS499" s="97"/>
      <c r="LHT499" s="97"/>
      <c r="LHU499" s="97"/>
      <c r="LHV499" s="97"/>
      <c r="LHW499" s="97"/>
      <c r="LHX499" s="97"/>
      <c r="LHY499" s="97"/>
      <c r="LIA499" s="94"/>
      <c r="LIB499" s="94"/>
      <c r="LIC499" s="95"/>
      <c r="LID499" s="96"/>
      <c r="LIE499" s="97"/>
      <c r="LIF499" s="97"/>
      <c r="LIG499" s="97"/>
      <c r="LIH499" s="97"/>
      <c r="LII499" s="97"/>
      <c r="LIJ499" s="97"/>
      <c r="LIK499" s="97"/>
      <c r="LIL499" s="97"/>
      <c r="LIN499" s="94"/>
      <c r="LIO499" s="94"/>
      <c r="LIP499" s="95"/>
      <c r="LIQ499" s="96"/>
      <c r="LIR499" s="97"/>
      <c r="LIS499" s="97"/>
      <c r="LIT499" s="97"/>
      <c r="LIU499" s="97"/>
      <c r="LIV499" s="97"/>
      <c r="LIW499" s="97"/>
      <c r="LIX499" s="97"/>
      <c r="LIY499" s="97"/>
      <c r="LJA499" s="94"/>
      <c r="LJB499" s="94"/>
      <c r="LJC499" s="95"/>
      <c r="LJD499" s="96"/>
      <c r="LJE499" s="97"/>
      <c r="LJF499" s="97"/>
      <c r="LJG499" s="97"/>
      <c r="LJH499" s="97"/>
      <c r="LJI499" s="97"/>
      <c r="LJJ499" s="97"/>
      <c r="LJK499" s="97"/>
      <c r="LJL499" s="97"/>
      <c r="LJN499" s="94"/>
      <c r="LJO499" s="94"/>
      <c r="LJP499" s="95"/>
      <c r="LJQ499" s="96"/>
      <c r="LJR499" s="97"/>
      <c r="LJS499" s="97"/>
      <c r="LJT499" s="97"/>
      <c r="LJU499" s="97"/>
      <c r="LJV499" s="97"/>
      <c r="LJW499" s="97"/>
      <c r="LJX499" s="97"/>
      <c r="LJY499" s="97"/>
      <c r="LKA499" s="94"/>
      <c r="LKB499" s="94"/>
      <c r="LKC499" s="95"/>
      <c r="LKD499" s="96"/>
      <c r="LKE499" s="97"/>
      <c r="LKF499" s="97"/>
      <c r="LKG499" s="97"/>
      <c r="LKH499" s="97"/>
      <c r="LKI499" s="97"/>
      <c r="LKJ499" s="97"/>
      <c r="LKK499" s="97"/>
      <c r="LKL499" s="97"/>
      <c r="LKN499" s="94"/>
      <c r="LKO499" s="94"/>
      <c r="LKP499" s="95"/>
      <c r="LKQ499" s="96"/>
      <c r="LKR499" s="97"/>
      <c r="LKS499" s="97"/>
      <c r="LKT499" s="97"/>
      <c r="LKU499" s="97"/>
      <c r="LKV499" s="97"/>
      <c r="LKW499" s="97"/>
      <c r="LKX499" s="97"/>
      <c r="LKY499" s="97"/>
      <c r="LLA499" s="94"/>
      <c r="LLB499" s="94"/>
      <c r="LLC499" s="95"/>
      <c r="LLD499" s="96"/>
      <c r="LLE499" s="97"/>
      <c r="LLF499" s="97"/>
      <c r="LLG499" s="97"/>
      <c r="LLH499" s="97"/>
      <c r="LLI499" s="97"/>
      <c r="LLJ499" s="97"/>
      <c r="LLK499" s="97"/>
      <c r="LLL499" s="97"/>
      <c r="LLN499" s="94"/>
      <c r="LLO499" s="94"/>
      <c r="LLP499" s="95"/>
      <c r="LLQ499" s="96"/>
      <c r="LLR499" s="97"/>
      <c r="LLS499" s="97"/>
      <c r="LLT499" s="97"/>
      <c r="LLU499" s="97"/>
      <c r="LLV499" s="97"/>
      <c r="LLW499" s="97"/>
      <c r="LLX499" s="97"/>
      <c r="LLY499" s="97"/>
      <c r="LMA499" s="94"/>
      <c r="LMB499" s="94"/>
      <c r="LMC499" s="95"/>
      <c r="LMD499" s="96"/>
      <c r="LME499" s="97"/>
      <c r="LMF499" s="97"/>
      <c r="LMG499" s="97"/>
      <c r="LMH499" s="97"/>
      <c r="LMI499" s="97"/>
      <c r="LMJ499" s="97"/>
      <c r="LMK499" s="97"/>
      <c r="LML499" s="97"/>
      <c r="LMN499" s="94"/>
      <c r="LMO499" s="94"/>
      <c r="LMP499" s="95"/>
      <c r="LMQ499" s="96"/>
      <c r="LMR499" s="97"/>
      <c r="LMS499" s="97"/>
      <c r="LMT499" s="97"/>
      <c r="LMU499" s="97"/>
      <c r="LMV499" s="97"/>
      <c r="LMW499" s="97"/>
      <c r="LMX499" s="97"/>
      <c r="LMY499" s="97"/>
      <c r="LNA499" s="94"/>
      <c r="LNB499" s="94"/>
      <c r="LNC499" s="95"/>
      <c r="LND499" s="96"/>
      <c r="LNE499" s="97"/>
      <c r="LNF499" s="97"/>
      <c r="LNG499" s="97"/>
      <c r="LNH499" s="97"/>
      <c r="LNI499" s="97"/>
      <c r="LNJ499" s="97"/>
      <c r="LNK499" s="97"/>
      <c r="LNL499" s="97"/>
      <c r="LNN499" s="94"/>
      <c r="LNO499" s="94"/>
      <c r="LNP499" s="95"/>
      <c r="LNQ499" s="96"/>
      <c r="LNR499" s="97"/>
      <c r="LNS499" s="97"/>
      <c r="LNT499" s="97"/>
      <c r="LNU499" s="97"/>
      <c r="LNV499" s="97"/>
      <c r="LNW499" s="97"/>
      <c r="LNX499" s="97"/>
      <c r="LNY499" s="97"/>
      <c r="LOA499" s="94"/>
      <c r="LOB499" s="94"/>
      <c r="LOC499" s="95"/>
      <c r="LOD499" s="96"/>
      <c r="LOE499" s="97"/>
      <c r="LOF499" s="97"/>
      <c r="LOG499" s="97"/>
      <c r="LOH499" s="97"/>
      <c r="LOI499" s="97"/>
      <c r="LOJ499" s="97"/>
      <c r="LOK499" s="97"/>
      <c r="LOL499" s="97"/>
      <c r="LON499" s="94"/>
      <c r="LOO499" s="94"/>
      <c r="LOP499" s="95"/>
      <c r="LOQ499" s="96"/>
      <c r="LOR499" s="97"/>
      <c r="LOS499" s="97"/>
      <c r="LOT499" s="97"/>
      <c r="LOU499" s="97"/>
      <c r="LOV499" s="97"/>
      <c r="LOW499" s="97"/>
      <c r="LOX499" s="97"/>
      <c r="LOY499" s="97"/>
      <c r="LPA499" s="94"/>
      <c r="LPB499" s="94"/>
      <c r="LPC499" s="95"/>
      <c r="LPD499" s="96"/>
      <c r="LPE499" s="97"/>
      <c r="LPF499" s="97"/>
      <c r="LPG499" s="97"/>
      <c r="LPH499" s="97"/>
      <c r="LPI499" s="97"/>
      <c r="LPJ499" s="97"/>
      <c r="LPK499" s="97"/>
      <c r="LPL499" s="97"/>
      <c r="LPN499" s="94"/>
      <c r="LPO499" s="94"/>
      <c r="LPP499" s="95"/>
      <c r="LPQ499" s="96"/>
      <c r="LPR499" s="97"/>
      <c r="LPS499" s="97"/>
      <c r="LPT499" s="97"/>
      <c r="LPU499" s="97"/>
      <c r="LPV499" s="97"/>
      <c r="LPW499" s="97"/>
      <c r="LPX499" s="97"/>
      <c r="LPY499" s="97"/>
      <c r="LQA499" s="94"/>
      <c r="LQB499" s="94"/>
      <c r="LQC499" s="95"/>
      <c r="LQD499" s="96"/>
      <c r="LQE499" s="97"/>
      <c r="LQF499" s="97"/>
      <c r="LQG499" s="97"/>
      <c r="LQH499" s="97"/>
      <c r="LQI499" s="97"/>
      <c r="LQJ499" s="97"/>
      <c r="LQK499" s="97"/>
      <c r="LQL499" s="97"/>
      <c r="LQN499" s="94"/>
      <c r="LQO499" s="94"/>
      <c r="LQP499" s="95"/>
      <c r="LQQ499" s="96"/>
      <c r="LQR499" s="97"/>
      <c r="LQS499" s="97"/>
      <c r="LQT499" s="97"/>
      <c r="LQU499" s="97"/>
      <c r="LQV499" s="97"/>
      <c r="LQW499" s="97"/>
      <c r="LQX499" s="97"/>
      <c r="LQY499" s="97"/>
      <c r="LRA499" s="94"/>
      <c r="LRB499" s="94"/>
      <c r="LRC499" s="95"/>
      <c r="LRD499" s="96"/>
      <c r="LRE499" s="97"/>
      <c r="LRF499" s="97"/>
      <c r="LRG499" s="97"/>
      <c r="LRH499" s="97"/>
      <c r="LRI499" s="97"/>
      <c r="LRJ499" s="97"/>
      <c r="LRK499" s="97"/>
      <c r="LRL499" s="97"/>
      <c r="LRN499" s="94"/>
      <c r="LRO499" s="94"/>
      <c r="LRP499" s="95"/>
      <c r="LRQ499" s="96"/>
      <c r="LRR499" s="97"/>
      <c r="LRS499" s="97"/>
      <c r="LRT499" s="97"/>
      <c r="LRU499" s="97"/>
      <c r="LRV499" s="97"/>
      <c r="LRW499" s="97"/>
      <c r="LRX499" s="97"/>
      <c r="LRY499" s="97"/>
      <c r="LSA499" s="94"/>
      <c r="LSB499" s="94"/>
      <c r="LSC499" s="95"/>
      <c r="LSD499" s="96"/>
      <c r="LSE499" s="97"/>
      <c r="LSF499" s="97"/>
      <c r="LSG499" s="97"/>
      <c r="LSH499" s="97"/>
      <c r="LSI499" s="97"/>
      <c r="LSJ499" s="97"/>
      <c r="LSK499" s="97"/>
      <c r="LSL499" s="97"/>
      <c r="LSN499" s="94"/>
      <c r="LSO499" s="94"/>
      <c r="LSP499" s="95"/>
      <c r="LSQ499" s="96"/>
      <c r="LSR499" s="97"/>
      <c r="LSS499" s="97"/>
      <c r="LST499" s="97"/>
      <c r="LSU499" s="97"/>
      <c r="LSV499" s="97"/>
      <c r="LSW499" s="97"/>
      <c r="LSX499" s="97"/>
      <c r="LSY499" s="97"/>
      <c r="LTA499" s="94"/>
      <c r="LTB499" s="94"/>
      <c r="LTC499" s="95"/>
      <c r="LTD499" s="96"/>
      <c r="LTE499" s="97"/>
      <c r="LTF499" s="97"/>
      <c r="LTG499" s="97"/>
      <c r="LTH499" s="97"/>
      <c r="LTI499" s="97"/>
      <c r="LTJ499" s="97"/>
      <c r="LTK499" s="97"/>
      <c r="LTL499" s="97"/>
      <c r="LTN499" s="94"/>
      <c r="LTO499" s="94"/>
      <c r="LTP499" s="95"/>
      <c r="LTQ499" s="96"/>
      <c r="LTR499" s="97"/>
      <c r="LTS499" s="97"/>
      <c r="LTT499" s="97"/>
      <c r="LTU499" s="97"/>
      <c r="LTV499" s="97"/>
      <c r="LTW499" s="97"/>
      <c r="LTX499" s="97"/>
      <c r="LTY499" s="97"/>
      <c r="LUA499" s="94"/>
      <c r="LUB499" s="94"/>
      <c r="LUC499" s="95"/>
      <c r="LUD499" s="96"/>
      <c r="LUE499" s="97"/>
      <c r="LUF499" s="97"/>
      <c r="LUG499" s="97"/>
      <c r="LUH499" s="97"/>
      <c r="LUI499" s="97"/>
      <c r="LUJ499" s="97"/>
      <c r="LUK499" s="97"/>
      <c r="LUL499" s="97"/>
      <c r="LUN499" s="94"/>
      <c r="LUO499" s="94"/>
      <c r="LUP499" s="95"/>
      <c r="LUQ499" s="96"/>
      <c r="LUR499" s="97"/>
      <c r="LUS499" s="97"/>
      <c r="LUT499" s="97"/>
      <c r="LUU499" s="97"/>
      <c r="LUV499" s="97"/>
      <c r="LUW499" s="97"/>
      <c r="LUX499" s="97"/>
      <c r="LUY499" s="97"/>
      <c r="LVA499" s="94"/>
      <c r="LVB499" s="94"/>
      <c r="LVC499" s="95"/>
      <c r="LVD499" s="96"/>
      <c r="LVE499" s="97"/>
      <c r="LVF499" s="97"/>
      <c r="LVG499" s="97"/>
      <c r="LVH499" s="97"/>
      <c r="LVI499" s="97"/>
      <c r="LVJ499" s="97"/>
      <c r="LVK499" s="97"/>
      <c r="LVL499" s="97"/>
      <c r="LVN499" s="94"/>
      <c r="LVO499" s="94"/>
      <c r="LVP499" s="95"/>
      <c r="LVQ499" s="96"/>
      <c r="LVR499" s="97"/>
      <c r="LVS499" s="97"/>
      <c r="LVT499" s="97"/>
      <c r="LVU499" s="97"/>
      <c r="LVV499" s="97"/>
      <c r="LVW499" s="97"/>
      <c r="LVX499" s="97"/>
      <c r="LVY499" s="97"/>
      <c r="LWA499" s="94"/>
      <c r="LWB499" s="94"/>
      <c r="LWC499" s="95"/>
      <c r="LWD499" s="96"/>
      <c r="LWE499" s="97"/>
      <c r="LWF499" s="97"/>
      <c r="LWG499" s="97"/>
      <c r="LWH499" s="97"/>
      <c r="LWI499" s="97"/>
      <c r="LWJ499" s="97"/>
      <c r="LWK499" s="97"/>
      <c r="LWL499" s="97"/>
      <c r="LWN499" s="94"/>
      <c r="LWO499" s="94"/>
      <c r="LWP499" s="95"/>
      <c r="LWQ499" s="96"/>
      <c r="LWR499" s="97"/>
      <c r="LWS499" s="97"/>
      <c r="LWT499" s="97"/>
      <c r="LWU499" s="97"/>
      <c r="LWV499" s="97"/>
      <c r="LWW499" s="97"/>
      <c r="LWX499" s="97"/>
      <c r="LWY499" s="97"/>
      <c r="LXA499" s="94"/>
      <c r="LXB499" s="94"/>
      <c r="LXC499" s="95"/>
      <c r="LXD499" s="96"/>
      <c r="LXE499" s="97"/>
      <c r="LXF499" s="97"/>
      <c r="LXG499" s="97"/>
      <c r="LXH499" s="97"/>
      <c r="LXI499" s="97"/>
      <c r="LXJ499" s="97"/>
      <c r="LXK499" s="97"/>
      <c r="LXL499" s="97"/>
      <c r="LXN499" s="94"/>
      <c r="LXO499" s="94"/>
      <c r="LXP499" s="95"/>
      <c r="LXQ499" s="96"/>
      <c r="LXR499" s="97"/>
      <c r="LXS499" s="97"/>
      <c r="LXT499" s="97"/>
      <c r="LXU499" s="97"/>
      <c r="LXV499" s="97"/>
      <c r="LXW499" s="97"/>
      <c r="LXX499" s="97"/>
      <c r="LXY499" s="97"/>
      <c r="LYA499" s="94"/>
      <c r="LYB499" s="94"/>
      <c r="LYC499" s="95"/>
      <c r="LYD499" s="96"/>
      <c r="LYE499" s="97"/>
      <c r="LYF499" s="97"/>
      <c r="LYG499" s="97"/>
      <c r="LYH499" s="97"/>
      <c r="LYI499" s="97"/>
      <c r="LYJ499" s="97"/>
      <c r="LYK499" s="97"/>
      <c r="LYL499" s="97"/>
      <c r="LYN499" s="94"/>
      <c r="LYO499" s="94"/>
      <c r="LYP499" s="95"/>
      <c r="LYQ499" s="96"/>
      <c r="LYR499" s="97"/>
      <c r="LYS499" s="97"/>
      <c r="LYT499" s="97"/>
      <c r="LYU499" s="97"/>
      <c r="LYV499" s="97"/>
      <c r="LYW499" s="97"/>
      <c r="LYX499" s="97"/>
      <c r="LYY499" s="97"/>
      <c r="LZA499" s="94"/>
      <c r="LZB499" s="94"/>
      <c r="LZC499" s="95"/>
      <c r="LZD499" s="96"/>
      <c r="LZE499" s="97"/>
      <c r="LZF499" s="97"/>
      <c r="LZG499" s="97"/>
      <c r="LZH499" s="97"/>
      <c r="LZI499" s="97"/>
      <c r="LZJ499" s="97"/>
      <c r="LZK499" s="97"/>
      <c r="LZL499" s="97"/>
      <c r="LZN499" s="94"/>
      <c r="LZO499" s="94"/>
      <c r="LZP499" s="95"/>
      <c r="LZQ499" s="96"/>
      <c r="LZR499" s="97"/>
      <c r="LZS499" s="97"/>
      <c r="LZT499" s="97"/>
      <c r="LZU499" s="97"/>
      <c r="LZV499" s="97"/>
      <c r="LZW499" s="97"/>
      <c r="LZX499" s="97"/>
      <c r="LZY499" s="97"/>
      <c r="MAA499" s="94"/>
      <c r="MAB499" s="94"/>
      <c r="MAC499" s="95"/>
      <c r="MAD499" s="96"/>
      <c r="MAE499" s="97"/>
      <c r="MAF499" s="97"/>
      <c r="MAG499" s="97"/>
      <c r="MAH499" s="97"/>
      <c r="MAI499" s="97"/>
      <c r="MAJ499" s="97"/>
      <c r="MAK499" s="97"/>
      <c r="MAL499" s="97"/>
      <c r="MAN499" s="94"/>
      <c r="MAO499" s="94"/>
      <c r="MAP499" s="95"/>
      <c r="MAQ499" s="96"/>
      <c r="MAR499" s="97"/>
      <c r="MAS499" s="97"/>
      <c r="MAT499" s="97"/>
      <c r="MAU499" s="97"/>
      <c r="MAV499" s="97"/>
      <c r="MAW499" s="97"/>
      <c r="MAX499" s="97"/>
      <c r="MAY499" s="97"/>
      <c r="MBA499" s="94"/>
      <c r="MBB499" s="94"/>
      <c r="MBC499" s="95"/>
      <c r="MBD499" s="96"/>
      <c r="MBE499" s="97"/>
      <c r="MBF499" s="97"/>
      <c r="MBG499" s="97"/>
      <c r="MBH499" s="97"/>
      <c r="MBI499" s="97"/>
      <c r="MBJ499" s="97"/>
      <c r="MBK499" s="97"/>
      <c r="MBL499" s="97"/>
      <c r="MBN499" s="94"/>
      <c r="MBO499" s="94"/>
      <c r="MBP499" s="95"/>
      <c r="MBQ499" s="96"/>
      <c r="MBR499" s="97"/>
      <c r="MBS499" s="97"/>
      <c r="MBT499" s="97"/>
      <c r="MBU499" s="97"/>
      <c r="MBV499" s="97"/>
      <c r="MBW499" s="97"/>
      <c r="MBX499" s="97"/>
      <c r="MBY499" s="97"/>
      <c r="MCA499" s="94"/>
      <c r="MCB499" s="94"/>
      <c r="MCC499" s="95"/>
      <c r="MCD499" s="96"/>
      <c r="MCE499" s="97"/>
      <c r="MCF499" s="97"/>
      <c r="MCG499" s="97"/>
      <c r="MCH499" s="97"/>
      <c r="MCI499" s="97"/>
      <c r="MCJ499" s="97"/>
      <c r="MCK499" s="97"/>
      <c r="MCL499" s="97"/>
      <c r="MCN499" s="94"/>
      <c r="MCO499" s="94"/>
      <c r="MCP499" s="95"/>
      <c r="MCQ499" s="96"/>
      <c r="MCR499" s="97"/>
      <c r="MCS499" s="97"/>
      <c r="MCT499" s="97"/>
      <c r="MCU499" s="97"/>
      <c r="MCV499" s="97"/>
      <c r="MCW499" s="97"/>
      <c r="MCX499" s="97"/>
      <c r="MCY499" s="97"/>
      <c r="MDA499" s="94"/>
      <c r="MDB499" s="94"/>
      <c r="MDC499" s="95"/>
      <c r="MDD499" s="96"/>
      <c r="MDE499" s="97"/>
      <c r="MDF499" s="97"/>
      <c r="MDG499" s="97"/>
      <c r="MDH499" s="97"/>
      <c r="MDI499" s="97"/>
      <c r="MDJ499" s="97"/>
      <c r="MDK499" s="97"/>
      <c r="MDL499" s="97"/>
      <c r="MDN499" s="94"/>
      <c r="MDO499" s="94"/>
      <c r="MDP499" s="95"/>
      <c r="MDQ499" s="96"/>
      <c r="MDR499" s="97"/>
      <c r="MDS499" s="97"/>
      <c r="MDT499" s="97"/>
      <c r="MDU499" s="97"/>
      <c r="MDV499" s="97"/>
      <c r="MDW499" s="97"/>
      <c r="MDX499" s="97"/>
      <c r="MDY499" s="97"/>
      <c r="MEA499" s="94"/>
      <c r="MEB499" s="94"/>
      <c r="MEC499" s="95"/>
      <c r="MED499" s="96"/>
      <c r="MEE499" s="97"/>
      <c r="MEF499" s="97"/>
      <c r="MEG499" s="97"/>
      <c r="MEH499" s="97"/>
      <c r="MEI499" s="97"/>
      <c r="MEJ499" s="97"/>
      <c r="MEK499" s="97"/>
      <c r="MEL499" s="97"/>
      <c r="MEN499" s="94"/>
      <c r="MEO499" s="94"/>
      <c r="MEP499" s="95"/>
      <c r="MEQ499" s="96"/>
      <c r="MER499" s="97"/>
      <c r="MES499" s="97"/>
      <c r="MET499" s="97"/>
      <c r="MEU499" s="97"/>
      <c r="MEV499" s="97"/>
      <c r="MEW499" s="97"/>
      <c r="MEX499" s="97"/>
      <c r="MEY499" s="97"/>
      <c r="MFA499" s="94"/>
      <c r="MFB499" s="94"/>
      <c r="MFC499" s="95"/>
      <c r="MFD499" s="96"/>
      <c r="MFE499" s="97"/>
      <c r="MFF499" s="97"/>
      <c r="MFG499" s="97"/>
      <c r="MFH499" s="97"/>
      <c r="MFI499" s="97"/>
      <c r="MFJ499" s="97"/>
      <c r="MFK499" s="97"/>
      <c r="MFL499" s="97"/>
      <c r="MFN499" s="94"/>
      <c r="MFO499" s="94"/>
      <c r="MFP499" s="95"/>
      <c r="MFQ499" s="96"/>
      <c r="MFR499" s="97"/>
      <c r="MFS499" s="97"/>
      <c r="MFT499" s="97"/>
      <c r="MFU499" s="97"/>
      <c r="MFV499" s="97"/>
      <c r="MFW499" s="97"/>
      <c r="MFX499" s="97"/>
      <c r="MFY499" s="97"/>
      <c r="MGA499" s="94"/>
      <c r="MGB499" s="94"/>
      <c r="MGC499" s="95"/>
      <c r="MGD499" s="96"/>
      <c r="MGE499" s="97"/>
      <c r="MGF499" s="97"/>
      <c r="MGG499" s="97"/>
      <c r="MGH499" s="97"/>
      <c r="MGI499" s="97"/>
      <c r="MGJ499" s="97"/>
      <c r="MGK499" s="97"/>
      <c r="MGL499" s="97"/>
      <c r="MGN499" s="94"/>
      <c r="MGO499" s="94"/>
      <c r="MGP499" s="95"/>
      <c r="MGQ499" s="96"/>
      <c r="MGR499" s="97"/>
      <c r="MGS499" s="97"/>
      <c r="MGT499" s="97"/>
      <c r="MGU499" s="97"/>
      <c r="MGV499" s="97"/>
      <c r="MGW499" s="97"/>
      <c r="MGX499" s="97"/>
      <c r="MGY499" s="97"/>
      <c r="MHA499" s="94"/>
      <c r="MHB499" s="94"/>
      <c r="MHC499" s="95"/>
      <c r="MHD499" s="96"/>
      <c r="MHE499" s="97"/>
      <c r="MHF499" s="97"/>
      <c r="MHG499" s="97"/>
      <c r="MHH499" s="97"/>
      <c r="MHI499" s="97"/>
      <c r="MHJ499" s="97"/>
      <c r="MHK499" s="97"/>
      <c r="MHL499" s="97"/>
      <c r="MHN499" s="94"/>
      <c r="MHO499" s="94"/>
      <c r="MHP499" s="95"/>
      <c r="MHQ499" s="96"/>
      <c r="MHR499" s="97"/>
      <c r="MHS499" s="97"/>
      <c r="MHT499" s="97"/>
      <c r="MHU499" s="97"/>
      <c r="MHV499" s="97"/>
      <c r="MHW499" s="97"/>
      <c r="MHX499" s="97"/>
      <c r="MHY499" s="97"/>
      <c r="MIA499" s="94"/>
      <c r="MIB499" s="94"/>
      <c r="MIC499" s="95"/>
      <c r="MID499" s="96"/>
      <c r="MIE499" s="97"/>
      <c r="MIF499" s="97"/>
      <c r="MIG499" s="97"/>
      <c r="MIH499" s="97"/>
      <c r="MII499" s="97"/>
      <c r="MIJ499" s="97"/>
      <c r="MIK499" s="97"/>
      <c r="MIL499" s="97"/>
      <c r="MIN499" s="94"/>
      <c r="MIO499" s="94"/>
      <c r="MIP499" s="95"/>
      <c r="MIQ499" s="96"/>
      <c r="MIR499" s="97"/>
      <c r="MIS499" s="97"/>
      <c r="MIT499" s="97"/>
      <c r="MIU499" s="97"/>
      <c r="MIV499" s="97"/>
      <c r="MIW499" s="97"/>
      <c r="MIX499" s="97"/>
      <c r="MIY499" s="97"/>
      <c r="MJA499" s="94"/>
      <c r="MJB499" s="94"/>
      <c r="MJC499" s="95"/>
      <c r="MJD499" s="96"/>
      <c r="MJE499" s="97"/>
      <c r="MJF499" s="97"/>
      <c r="MJG499" s="97"/>
      <c r="MJH499" s="97"/>
      <c r="MJI499" s="97"/>
      <c r="MJJ499" s="97"/>
      <c r="MJK499" s="97"/>
      <c r="MJL499" s="97"/>
      <c r="MJN499" s="94"/>
      <c r="MJO499" s="94"/>
      <c r="MJP499" s="95"/>
      <c r="MJQ499" s="96"/>
      <c r="MJR499" s="97"/>
      <c r="MJS499" s="97"/>
      <c r="MJT499" s="97"/>
      <c r="MJU499" s="97"/>
      <c r="MJV499" s="97"/>
      <c r="MJW499" s="97"/>
      <c r="MJX499" s="97"/>
      <c r="MJY499" s="97"/>
      <c r="MKA499" s="94"/>
      <c r="MKB499" s="94"/>
      <c r="MKC499" s="95"/>
      <c r="MKD499" s="96"/>
      <c r="MKE499" s="97"/>
      <c r="MKF499" s="97"/>
      <c r="MKG499" s="97"/>
      <c r="MKH499" s="97"/>
      <c r="MKI499" s="97"/>
      <c r="MKJ499" s="97"/>
      <c r="MKK499" s="97"/>
      <c r="MKL499" s="97"/>
      <c r="MKN499" s="94"/>
      <c r="MKO499" s="94"/>
      <c r="MKP499" s="95"/>
      <c r="MKQ499" s="96"/>
      <c r="MKR499" s="97"/>
      <c r="MKS499" s="97"/>
      <c r="MKT499" s="97"/>
      <c r="MKU499" s="97"/>
      <c r="MKV499" s="97"/>
      <c r="MKW499" s="97"/>
      <c r="MKX499" s="97"/>
      <c r="MKY499" s="97"/>
      <c r="MLA499" s="94"/>
      <c r="MLB499" s="94"/>
      <c r="MLC499" s="95"/>
      <c r="MLD499" s="96"/>
      <c r="MLE499" s="97"/>
      <c r="MLF499" s="97"/>
      <c r="MLG499" s="97"/>
      <c r="MLH499" s="97"/>
      <c r="MLI499" s="97"/>
      <c r="MLJ499" s="97"/>
      <c r="MLK499" s="97"/>
      <c r="MLL499" s="97"/>
      <c r="MLN499" s="94"/>
      <c r="MLO499" s="94"/>
      <c r="MLP499" s="95"/>
      <c r="MLQ499" s="96"/>
      <c r="MLR499" s="97"/>
      <c r="MLS499" s="97"/>
      <c r="MLT499" s="97"/>
      <c r="MLU499" s="97"/>
      <c r="MLV499" s="97"/>
      <c r="MLW499" s="97"/>
      <c r="MLX499" s="97"/>
      <c r="MLY499" s="97"/>
      <c r="MMA499" s="94"/>
      <c r="MMB499" s="94"/>
      <c r="MMC499" s="95"/>
      <c r="MMD499" s="96"/>
      <c r="MME499" s="97"/>
      <c r="MMF499" s="97"/>
      <c r="MMG499" s="97"/>
      <c r="MMH499" s="97"/>
      <c r="MMI499" s="97"/>
      <c r="MMJ499" s="97"/>
      <c r="MMK499" s="97"/>
      <c r="MML499" s="97"/>
      <c r="MMN499" s="94"/>
      <c r="MMO499" s="94"/>
      <c r="MMP499" s="95"/>
      <c r="MMQ499" s="96"/>
      <c r="MMR499" s="97"/>
      <c r="MMS499" s="97"/>
      <c r="MMT499" s="97"/>
      <c r="MMU499" s="97"/>
      <c r="MMV499" s="97"/>
      <c r="MMW499" s="97"/>
      <c r="MMX499" s="97"/>
      <c r="MMY499" s="97"/>
      <c r="MNA499" s="94"/>
      <c r="MNB499" s="94"/>
      <c r="MNC499" s="95"/>
      <c r="MND499" s="96"/>
      <c r="MNE499" s="97"/>
      <c r="MNF499" s="97"/>
      <c r="MNG499" s="97"/>
      <c r="MNH499" s="97"/>
      <c r="MNI499" s="97"/>
      <c r="MNJ499" s="97"/>
      <c r="MNK499" s="97"/>
      <c r="MNL499" s="97"/>
      <c r="MNN499" s="94"/>
      <c r="MNO499" s="94"/>
      <c r="MNP499" s="95"/>
      <c r="MNQ499" s="96"/>
      <c r="MNR499" s="97"/>
      <c r="MNS499" s="97"/>
      <c r="MNT499" s="97"/>
      <c r="MNU499" s="97"/>
      <c r="MNV499" s="97"/>
      <c r="MNW499" s="97"/>
      <c r="MNX499" s="97"/>
      <c r="MNY499" s="97"/>
      <c r="MOA499" s="94"/>
      <c r="MOB499" s="94"/>
      <c r="MOC499" s="95"/>
      <c r="MOD499" s="96"/>
      <c r="MOE499" s="97"/>
      <c r="MOF499" s="97"/>
      <c r="MOG499" s="97"/>
      <c r="MOH499" s="97"/>
      <c r="MOI499" s="97"/>
      <c r="MOJ499" s="97"/>
      <c r="MOK499" s="97"/>
      <c r="MOL499" s="97"/>
      <c r="MON499" s="94"/>
      <c r="MOO499" s="94"/>
      <c r="MOP499" s="95"/>
      <c r="MOQ499" s="96"/>
      <c r="MOR499" s="97"/>
      <c r="MOS499" s="97"/>
      <c r="MOT499" s="97"/>
      <c r="MOU499" s="97"/>
      <c r="MOV499" s="97"/>
      <c r="MOW499" s="97"/>
      <c r="MOX499" s="97"/>
      <c r="MOY499" s="97"/>
      <c r="MPA499" s="94"/>
      <c r="MPB499" s="94"/>
      <c r="MPC499" s="95"/>
      <c r="MPD499" s="96"/>
      <c r="MPE499" s="97"/>
      <c r="MPF499" s="97"/>
      <c r="MPG499" s="97"/>
      <c r="MPH499" s="97"/>
      <c r="MPI499" s="97"/>
      <c r="MPJ499" s="97"/>
      <c r="MPK499" s="97"/>
      <c r="MPL499" s="97"/>
      <c r="MPN499" s="94"/>
      <c r="MPO499" s="94"/>
      <c r="MPP499" s="95"/>
      <c r="MPQ499" s="96"/>
      <c r="MPR499" s="97"/>
      <c r="MPS499" s="97"/>
      <c r="MPT499" s="97"/>
      <c r="MPU499" s="97"/>
      <c r="MPV499" s="97"/>
      <c r="MPW499" s="97"/>
      <c r="MPX499" s="97"/>
      <c r="MPY499" s="97"/>
      <c r="MQA499" s="94"/>
      <c r="MQB499" s="94"/>
      <c r="MQC499" s="95"/>
      <c r="MQD499" s="96"/>
      <c r="MQE499" s="97"/>
      <c r="MQF499" s="97"/>
      <c r="MQG499" s="97"/>
      <c r="MQH499" s="97"/>
      <c r="MQI499" s="97"/>
      <c r="MQJ499" s="97"/>
      <c r="MQK499" s="97"/>
      <c r="MQL499" s="97"/>
      <c r="MQN499" s="94"/>
      <c r="MQO499" s="94"/>
      <c r="MQP499" s="95"/>
      <c r="MQQ499" s="96"/>
      <c r="MQR499" s="97"/>
      <c r="MQS499" s="97"/>
      <c r="MQT499" s="97"/>
      <c r="MQU499" s="97"/>
      <c r="MQV499" s="97"/>
      <c r="MQW499" s="97"/>
      <c r="MQX499" s="97"/>
      <c r="MQY499" s="97"/>
      <c r="MRA499" s="94"/>
      <c r="MRB499" s="94"/>
      <c r="MRC499" s="95"/>
      <c r="MRD499" s="96"/>
      <c r="MRE499" s="97"/>
      <c r="MRF499" s="97"/>
      <c r="MRG499" s="97"/>
      <c r="MRH499" s="97"/>
      <c r="MRI499" s="97"/>
      <c r="MRJ499" s="97"/>
      <c r="MRK499" s="97"/>
      <c r="MRL499" s="97"/>
      <c r="MRN499" s="94"/>
      <c r="MRO499" s="94"/>
      <c r="MRP499" s="95"/>
      <c r="MRQ499" s="96"/>
      <c r="MRR499" s="97"/>
      <c r="MRS499" s="97"/>
      <c r="MRT499" s="97"/>
      <c r="MRU499" s="97"/>
      <c r="MRV499" s="97"/>
      <c r="MRW499" s="97"/>
      <c r="MRX499" s="97"/>
      <c r="MRY499" s="97"/>
      <c r="MSA499" s="94"/>
      <c r="MSB499" s="94"/>
      <c r="MSC499" s="95"/>
      <c r="MSD499" s="96"/>
      <c r="MSE499" s="97"/>
      <c r="MSF499" s="97"/>
      <c r="MSG499" s="97"/>
      <c r="MSH499" s="97"/>
      <c r="MSI499" s="97"/>
      <c r="MSJ499" s="97"/>
      <c r="MSK499" s="97"/>
      <c r="MSL499" s="97"/>
      <c r="MSN499" s="94"/>
      <c r="MSO499" s="94"/>
      <c r="MSP499" s="95"/>
      <c r="MSQ499" s="96"/>
      <c r="MSR499" s="97"/>
      <c r="MSS499" s="97"/>
      <c r="MST499" s="97"/>
      <c r="MSU499" s="97"/>
      <c r="MSV499" s="97"/>
      <c r="MSW499" s="97"/>
      <c r="MSX499" s="97"/>
      <c r="MSY499" s="97"/>
      <c r="MTA499" s="94"/>
      <c r="MTB499" s="94"/>
      <c r="MTC499" s="95"/>
      <c r="MTD499" s="96"/>
      <c r="MTE499" s="97"/>
      <c r="MTF499" s="97"/>
      <c r="MTG499" s="97"/>
      <c r="MTH499" s="97"/>
      <c r="MTI499" s="97"/>
      <c r="MTJ499" s="97"/>
      <c r="MTK499" s="97"/>
      <c r="MTL499" s="97"/>
      <c r="MTN499" s="94"/>
      <c r="MTO499" s="94"/>
      <c r="MTP499" s="95"/>
      <c r="MTQ499" s="96"/>
      <c r="MTR499" s="97"/>
      <c r="MTS499" s="97"/>
      <c r="MTT499" s="97"/>
      <c r="MTU499" s="97"/>
      <c r="MTV499" s="97"/>
      <c r="MTW499" s="97"/>
      <c r="MTX499" s="97"/>
      <c r="MTY499" s="97"/>
      <c r="MUA499" s="94"/>
      <c r="MUB499" s="94"/>
      <c r="MUC499" s="95"/>
      <c r="MUD499" s="96"/>
      <c r="MUE499" s="97"/>
      <c r="MUF499" s="97"/>
      <c r="MUG499" s="97"/>
      <c r="MUH499" s="97"/>
      <c r="MUI499" s="97"/>
      <c r="MUJ499" s="97"/>
      <c r="MUK499" s="97"/>
      <c r="MUL499" s="97"/>
      <c r="MUN499" s="94"/>
      <c r="MUO499" s="94"/>
      <c r="MUP499" s="95"/>
      <c r="MUQ499" s="96"/>
      <c r="MUR499" s="97"/>
      <c r="MUS499" s="97"/>
      <c r="MUT499" s="97"/>
      <c r="MUU499" s="97"/>
      <c r="MUV499" s="97"/>
      <c r="MUW499" s="97"/>
      <c r="MUX499" s="97"/>
      <c r="MUY499" s="97"/>
      <c r="MVA499" s="94"/>
      <c r="MVB499" s="94"/>
      <c r="MVC499" s="95"/>
      <c r="MVD499" s="96"/>
      <c r="MVE499" s="97"/>
      <c r="MVF499" s="97"/>
      <c r="MVG499" s="97"/>
      <c r="MVH499" s="97"/>
      <c r="MVI499" s="97"/>
      <c r="MVJ499" s="97"/>
      <c r="MVK499" s="97"/>
      <c r="MVL499" s="97"/>
      <c r="MVN499" s="94"/>
      <c r="MVO499" s="94"/>
      <c r="MVP499" s="95"/>
      <c r="MVQ499" s="96"/>
      <c r="MVR499" s="97"/>
      <c r="MVS499" s="97"/>
      <c r="MVT499" s="97"/>
      <c r="MVU499" s="97"/>
      <c r="MVV499" s="97"/>
      <c r="MVW499" s="97"/>
      <c r="MVX499" s="97"/>
      <c r="MVY499" s="97"/>
      <c r="MWA499" s="94"/>
      <c r="MWB499" s="94"/>
      <c r="MWC499" s="95"/>
      <c r="MWD499" s="96"/>
      <c r="MWE499" s="97"/>
      <c r="MWF499" s="97"/>
      <c r="MWG499" s="97"/>
      <c r="MWH499" s="97"/>
      <c r="MWI499" s="97"/>
      <c r="MWJ499" s="97"/>
      <c r="MWK499" s="97"/>
      <c r="MWL499" s="97"/>
      <c r="MWN499" s="94"/>
      <c r="MWO499" s="94"/>
      <c r="MWP499" s="95"/>
      <c r="MWQ499" s="96"/>
      <c r="MWR499" s="97"/>
      <c r="MWS499" s="97"/>
      <c r="MWT499" s="97"/>
      <c r="MWU499" s="97"/>
      <c r="MWV499" s="97"/>
      <c r="MWW499" s="97"/>
      <c r="MWX499" s="97"/>
      <c r="MWY499" s="97"/>
      <c r="MXA499" s="94"/>
      <c r="MXB499" s="94"/>
      <c r="MXC499" s="95"/>
      <c r="MXD499" s="96"/>
      <c r="MXE499" s="97"/>
      <c r="MXF499" s="97"/>
      <c r="MXG499" s="97"/>
      <c r="MXH499" s="97"/>
      <c r="MXI499" s="97"/>
      <c r="MXJ499" s="97"/>
      <c r="MXK499" s="97"/>
      <c r="MXL499" s="97"/>
      <c r="MXN499" s="94"/>
      <c r="MXO499" s="94"/>
      <c r="MXP499" s="95"/>
      <c r="MXQ499" s="96"/>
      <c r="MXR499" s="97"/>
      <c r="MXS499" s="97"/>
      <c r="MXT499" s="97"/>
      <c r="MXU499" s="97"/>
      <c r="MXV499" s="97"/>
      <c r="MXW499" s="97"/>
      <c r="MXX499" s="97"/>
      <c r="MXY499" s="97"/>
      <c r="MYA499" s="94"/>
      <c r="MYB499" s="94"/>
      <c r="MYC499" s="95"/>
      <c r="MYD499" s="96"/>
      <c r="MYE499" s="97"/>
      <c r="MYF499" s="97"/>
      <c r="MYG499" s="97"/>
      <c r="MYH499" s="97"/>
      <c r="MYI499" s="97"/>
      <c r="MYJ499" s="97"/>
      <c r="MYK499" s="97"/>
      <c r="MYL499" s="97"/>
      <c r="MYN499" s="94"/>
      <c r="MYO499" s="94"/>
      <c r="MYP499" s="95"/>
      <c r="MYQ499" s="96"/>
      <c r="MYR499" s="97"/>
      <c r="MYS499" s="97"/>
      <c r="MYT499" s="97"/>
      <c r="MYU499" s="97"/>
      <c r="MYV499" s="97"/>
      <c r="MYW499" s="97"/>
      <c r="MYX499" s="97"/>
      <c r="MYY499" s="97"/>
      <c r="MZA499" s="94"/>
      <c r="MZB499" s="94"/>
      <c r="MZC499" s="95"/>
      <c r="MZD499" s="96"/>
      <c r="MZE499" s="97"/>
      <c r="MZF499" s="97"/>
      <c r="MZG499" s="97"/>
      <c r="MZH499" s="97"/>
      <c r="MZI499" s="97"/>
      <c r="MZJ499" s="97"/>
      <c r="MZK499" s="97"/>
      <c r="MZL499" s="97"/>
      <c r="MZN499" s="94"/>
      <c r="MZO499" s="94"/>
      <c r="MZP499" s="95"/>
      <c r="MZQ499" s="96"/>
      <c r="MZR499" s="97"/>
      <c r="MZS499" s="97"/>
      <c r="MZT499" s="97"/>
      <c r="MZU499" s="97"/>
      <c r="MZV499" s="97"/>
      <c r="MZW499" s="97"/>
      <c r="MZX499" s="97"/>
      <c r="MZY499" s="97"/>
      <c r="NAA499" s="94"/>
      <c r="NAB499" s="94"/>
      <c r="NAC499" s="95"/>
      <c r="NAD499" s="96"/>
      <c r="NAE499" s="97"/>
      <c r="NAF499" s="97"/>
      <c r="NAG499" s="97"/>
      <c r="NAH499" s="97"/>
      <c r="NAI499" s="97"/>
      <c r="NAJ499" s="97"/>
      <c r="NAK499" s="97"/>
      <c r="NAL499" s="97"/>
      <c r="NAN499" s="94"/>
      <c r="NAO499" s="94"/>
      <c r="NAP499" s="95"/>
      <c r="NAQ499" s="96"/>
      <c r="NAR499" s="97"/>
      <c r="NAS499" s="97"/>
      <c r="NAT499" s="97"/>
      <c r="NAU499" s="97"/>
      <c r="NAV499" s="97"/>
      <c r="NAW499" s="97"/>
      <c r="NAX499" s="97"/>
      <c r="NAY499" s="97"/>
      <c r="NBA499" s="94"/>
      <c r="NBB499" s="94"/>
      <c r="NBC499" s="95"/>
      <c r="NBD499" s="96"/>
      <c r="NBE499" s="97"/>
      <c r="NBF499" s="97"/>
      <c r="NBG499" s="97"/>
      <c r="NBH499" s="97"/>
      <c r="NBI499" s="97"/>
      <c r="NBJ499" s="97"/>
      <c r="NBK499" s="97"/>
      <c r="NBL499" s="97"/>
      <c r="NBN499" s="94"/>
      <c r="NBO499" s="94"/>
      <c r="NBP499" s="95"/>
      <c r="NBQ499" s="96"/>
      <c r="NBR499" s="97"/>
      <c r="NBS499" s="97"/>
      <c r="NBT499" s="97"/>
      <c r="NBU499" s="97"/>
      <c r="NBV499" s="97"/>
      <c r="NBW499" s="97"/>
      <c r="NBX499" s="97"/>
      <c r="NBY499" s="97"/>
      <c r="NCA499" s="94"/>
      <c r="NCB499" s="94"/>
      <c r="NCC499" s="95"/>
      <c r="NCD499" s="96"/>
      <c r="NCE499" s="97"/>
      <c r="NCF499" s="97"/>
      <c r="NCG499" s="97"/>
      <c r="NCH499" s="97"/>
      <c r="NCI499" s="97"/>
      <c r="NCJ499" s="97"/>
      <c r="NCK499" s="97"/>
      <c r="NCL499" s="97"/>
      <c r="NCN499" s="94"/>
      <c r="NCO499" s="94"/>
      <c r="NCP499" s="95"/>
      <c r="NCQ499" s="96"/>
      <c r="NCR499" s="97"/>
      <c r="NCS499" s="97"/>
      <c r="NCT499" s="97"/>
      <c r="NCU499" s="97"/>
      <c r="NCV499" s="97"/>
      <c r="NCW499" s="97"/>
      <c r="NCX499" s="97"/>
      <c r="NCY499" s="97"/>
      <c r="NDA499" s="94"/>
      <c r="NDB499" s="94"/>
      <c r="NDC499" s="95"/>
      <c r="NDD499" s="96"/>
      <c r="NDE499" s="97"/>
      <c r="NDF499" s="97"/>
      <c r="NDG499" s="97"/>
      <c r="NDH499" s="97"/>
      <c r="NDI499" s="97"/>
      <c r="NDJ499" s="97"/>
      <c r="NDK499" s="97"/>
      <c r="NDL499" s="97"/>
      <c r="NDN499" s="94"/>
      <c r="NDO499" s="94"/>
      <c r="NDP499" s="95"/>
      <c r="NDQ499" s="96"/>
      <c r="NDR499" s="97"/>
      <c r="NDS499" s="97"/>
      <c r="NDT499" s="97"/>
      <c r="NDU499" s="97"/>
      <c r="NDV499" s="97"/>
      <c r="NDW499" s="97"/>
      <c r="NDX499" s="97"/>
      <c r="NDY499" s="97"/>
      <c r="NEA499" s="94"/>
      <c r="NEB499" s="94"/>
      <c r="NEC499" s="95"/>
      <c r="NED499" s="96"/>
      <c r="NEE499" s="97"/>
      <c r="NEF499" s="97"/>
      <c r="NEG499" s="97"/>
      <c r="NEH499" s="97"/>
      <c r="NEI499" s="97"/>
      <c r="NEJ499" s="97"/>
      <c r="NEK499" s="97"/>
      <c r="NEL499" s="97"/>
      <c r="NEN499" s="94"/>
      <c r="NEO499" s="94"/>
      <c r="NEP499" s="95"/>
      <c r="NEQ499" s="96"/>
      <c r="NER499" s="97"/>
      <c r="NES499" s="97"/>
      <c r="NET499" s="97"/>
      <c r="NEU499" s="97"/>
      <c r="NEV499" s="97"/>
      <c r="NEW499" s="97"/>
      <c r="NEX499" s="97"/>
      <c r="NEY499" s="97"/>
      <c r="NFA499" s="94"/>
      <c r="NFB499" s="94"/>
      <c r="NFC499" s="95"/>
      <c r="NFD499" s="96"/>
      <c r="NFE499" s="97"/>
      <c r="NFF499" s="97"/>
      <c r="NFG499" s="97"/>
      <c r="NFH499" s="97"/>
      <c r="NFI499" s="97"/>
      <c r="NFJ499" s="97"/>
      <c r="NFK499" s="97"/>
      <c r="NFL499" s="97"/>
      <c r="NFN499" s="94"/>
      <c r="NFO499" s="94"/>
      <c r="NFP499" s="95"/>
      <c r="NFQ499" s="96"/>
      <c r="NFR499" s="97"/>
      <c r="NFS499" s="97"/>
      <c r="NFT499" s="97"/>
      <c r="NFU499" s="97"/>
      <c r="NFV499" s="97"/>
      <c r="NFW499" s="97"/>
      <c r="NFX499" s="97"/>
      <c r="NFY499" s="97"/>
      <c r="NGA499" s="94"/>
      <c r="NGB499" s="94"/>
      <c r="NGC499" s="95"/>
      <c r="NGD499" s="96"/>
      <c r="NGE499" s="97"/>
      <c r="NGF499" s="97"/>
      <c r="NGG499" s="97"/>
      <c r="NGH499" s="97"/>
      <c r="NGI499" s="97"/>
      <c r="NGJ499" s="97"/>
      <c r="NGK499" s="97"/>
      <c r="NGL499" s="97"/>
      <c r="NGN499" s="94"/>
      <c r="NGO499" s="94"/>
      <c r="NGP499" s="95"/>
      <c r="NGQ499" s="96"/>
      <c r="NGR499" s="97"/>
      <c r="NGS499" s="97"/>
      <c r="NGT499" s="97"/>
      <c r="NGU499" s="97"/>
      <c r="NGV499" s="97"/>
      <c r="NGW499" s="97"/>
      <c r="NGX499" s="97"/>
      <c r="NGY499" s="97"/>
      <c r="NHA499" s="94"/>
      <c r="NHB499" s="94"/>
      <c r="NHC499" s="95"/>
      <c r="NHD499" s="96"/>
      <c r="NHE499" s="97"/>
      <c r="NHF499" s="97"/>
      <c r="NHG499" s="97"/>
      <c r="NHH499" s="97"/>
      <c r="NHI499" s="97"/>
      <c r="NHJ499" s="97"/>
      <c r="NHK499" s="97"/>
      <c r="NHL499" s="97"/>
      <c r="NHN499" s="94"/>
      <c r="NHO499" s="94"/>
      <c r="NHP499" s="95"/>
      <c r="NHQ499" s="96"/>
      <c r="NHR499" s="97"/>
      <c r="NHS499" s="97"/>
      <c r="NHT499" s="97"/>
      <c r="NHU499" s="97"/>
      <c r="NHV499" s="97"/>
      <c r="NHW499" s="97"/>
      <c r="NHX499" s="97"/>
      <c r="NHY499" s="97"/>
      <c r="NIA499" s="94"/>
      <c r="NIB499" s="94"/>
      <c r="NIC499" s="95"/>
      <c r="NID499" s="96"/>
      <c r="NIE499" s="97"/>
      <c r="NIF499" s="97"/>
      <c r="NIG499" s="97"/>
      <c r="NIH499" s="97"/>
      <c r="NII499" s="97"/>
      <c r="NIJ499" s="97"/>
      <c r="NIK499" s="97"/>
      <c r="NIL499" s="97"/>
      <c r="NIN499" s="94"/>
      <c r="NIO499" s="94"/>
      <c r="NIP499" s="95"/>
      <c r="NIQ499" s="96"/>
      <c r="NIR499" s="97"/>
      <c r="NIS499" s="97"/>
      <c r="NIT499" s="97"/>
      <c r="NIU499" s="97"/>
      <c r="NIV499" s="97"/>
      <c r="NIW499" s="97"/>
      <c r="NIX499" s="97"/>
      <c r="NIY499" s="97"/>
      <c r="NJA499" s="94"/>
      <c r="NJB499" s="94"/>
      <c r="NJC499" s="95"/>
      <c r="NJD499" s="96"/>
      <c r="NJE499" s="97"/>
      <c r="NJF499" s="97"/>
      <c r="NJG499" s="97"/>
      <c r="NJH499" s="97"/>
      <c r="NJI499" s="97"/>
      <c r="NJJ499" s="97"/>
      <c r="NJK499" s="97"/>
      <c r="NJL499" s="97"/>
      <c r="NJN499" s="94"/>
      <c r="NJO499" s="94"/>
      <c r="NJP499" s="95"/>
      <c r="NJQ499" s="96"/>
      <c r="NJR499" s="97"/>
      <c r="NJS499" s="97"/>
      <c r="NJT499" s="97"/>
      <c r="NJU499" s="97"/>
      <c r="NJV499" s="97"/>
      <c r="NJW499" s="97"/>
      <c r="NJX499" s="97"/>
      <c r="NJY499" s="97"/>
      <c r="NKA499" s="94"/>
      <c r="NKB499" s="94"/>
      <c r="NKC499" s="95"/>
      <c r="NKD499" s="96"/>
      <c r="NKE499" s="97"/>
      <c r="NKF499" s="97"/>
      <c r="NKG499" s="97"/>
      <c r="NKH499" s="97"/>
      <c r="NKI499" s="97"/>
      <c r="NKJ499" s="97"/>
      <c r="NKK499" s="97"/>
      <c r="NKL499" s="97"/>
      <c r="NKN499" s="94"/>
      <c r="NKO499" s="94"/>
      <c r="NKP499" s="95"/>
      <c r="NKQ499" s="96"/>
      <c r="NKR499" s="97"/>
      <c r="NKS499" s="97"/>
      <c r="NKT499" s="97"/>
      <c r="NKU499" s="97"/>
      <c r="NKV499" s="97"/>
      <c r="NKW499" s="97"/>
      <c r="NKX499" s="97"/>
      <c r="NKY499" s="97"/>
      <c r="NLA499" s="94"/>
      <c r="NLB499" s="94"/>
      <c r="NLC499" s="95"/>
      <c r="NLD499" s="96"/>
      <c r="NLE499" s="97"/>
      <c r="NLF499" s="97"/>
      <c r="NLG499" s="97"/>
      <c r="NLH499" s="97"/>
      <c r="NLI499" s="97"/>
      <c r="NLJ499" s="97"/>
      <c r="NLK499" s="97"/>
      <c r="NLL499" s="97"/>
      <c r="NLN499" s="94"/>
      <c r="NLO499" s="94"/>
      <c r="NLP499" s="95"/>
      <c r="NLQ499" s="96"/>
      <c r="NLR499" s="97"/>
      <c r="NLS499" s="97"/>
      <c r="NLT499" s="97"/>
      <c r="NLU499" s="97"/>
      <c r="NLV499" s="97"/>
      <c r="NLW499" s="97"/>
      <c r="NLX499" s="97"/>
      <c r="NLY499" s="97"/>
      <c r="NMA499" s="94"/>
      <c r="NMB499" s="94"/>
      <c r="NMC499" s="95"/>
      <c r="NMD499" s="96"/>
      <c r="NME499" s="97"/>
      <c r="NMF499" s="97"/>
      <c r="NMG499" s="97"/>
      <c r="NMH499" s="97"/>
      <c r="NMI499" s="97"/>
      <c r="NMJ499" s="97"/>
      <c r="NMK499" s="97"/>
      <c r="NML499" s="97"/>
      <c r="NMN499" s="94"/>
      <c r="NMO499" s="94"/>
      <c r="NMP499" s="95"/>
      <c r="NMQ499" s="96"/>
      <c r="NMR499" s="97"/>
      <c r="NMS499" s="97"/>
      <c r="NMT499" s="97"/>
      <c r="NMU499" s="97"/>
      <c r="NMV499" s="97"/>
      <c r="NMW499" s="97"/>
      <c r="NMX499" s="97"/>
      <c r="NMY499" s="97"/>
      <c r="NNA499" s="94"/>
      <c r="NNB499" s="94"/>
      <c r="NNC499" s="95"/>
      <c r="NND499" s="96"/>
      <c r="NNE499" s="97"/>
      <c r="NNF499" s="97"/>
      <c r="NNG499" s="97"/>
      <c r="NNH499" s="97"/>
      <c r="NNI499" s="97"/>
      <c r="NNJ499" s="97"/>
      <c r="NNK499" s="97"/>
      <c r="NNL499" s="97"/>
      <c r="NNN499" s="94"/>
      <c r="NNO499" s="94"/>
      <c r="NNP499" s="95"/>
      <c r="NNQ499" s="96"/>
      <c r="NNR499" s="97"/>
      <c r="NNS499" s="97"/>
      <c r="NNT499" s="97"/>
      <c r="NNU499" s="97"/>
      <c r="NNV499" s="97"/>
      <c r="NNW499" s="97"/>
      <c r="NNX499" s="97"/>
      <c r="NNY499" s="97"/>
      <c r="NOA499" s="94"/>
      <c r="NOB499" s="94"/>
      <c r="NOC499" s="95"/>
      <c r="NOD499" s="96"/>
      <c r="NOE499" s="97"/>
      <c r="NOF499" s="97"/>
      <c r="NOG499" s="97"/>
      <c r="NOH499" s="97"/>
      <c r="NOI499" s="97"/>
      <c r="NOJ499" s="97"/>
      <c r="NOK499" s="97"/>
      <c r="NOL499" s="97"/>
      <c r="NON499" s="94"/>
      <c r="NOO499" s="94"/>
      <c r="NOP499" s="95"/>
      <c r="NOQ499" s="96"/>
      <c r="NOR499" s="97"/>
      <c r="NOS499" s="97"/>
      <c r="NOT499" s="97"/>
      <c r="NOU499" s="97"/>
      <c r="NOV499" s="97"/>
      <c r="NOW499" s="97"/>
      <c r="NOX499" s="97"/>
      <c r="NOY499" s="97"/>
      <c r="NPA499" s="94"/>
      <c r="NPB499" s="94"/>
      <c r="NPC499" s="95"/>
      <c r="NPD499" s="96"/>
      <c r="NPE499" s="97"/>
      <c r="NPF499" s="97"/>
      <c r="NPG499" s="97"/>
      <c r="NPH499" s="97"/>
      <c r="NPI499" s="97"/>
      <c r="NPJ499" s="97"/>
      <c r="NPK499" s="97"/>
      <c r="NPL499" s="97"/>
      <c r="NPN499" s="94"/>
      <c r="NPO499" s="94"/>
      <c r="NPP499" s="95"/>
      <c r="NPQ499" s="96"/>
      <c r="NPR499" s="97"/>
      <c r="NPS499" s="97"/>
      <c r="NPT499" s="97"/>
      <c r="NPU499" s="97"/>
      <c r="NPV499" s="97"/>
      <c r="NPW499" s="97"/>
      <c r="NPX499" s="97"/>
      <c r="NPY499" s="97"/>
      <c r="NQA499" s="94"/>
      <c r="NQB499" s="94"/>
      <c r="NQC499" s="95"/>
      <c r="NQD499" s="96"/>
      <c r="NQE499" s="97"/>
      <c r="NQF499" s="97"/>
      <c r="NQG499" s="97"/>
      <c r="NQH499" s="97"/>
      <c r="NQI499" s="97"/>
      <c r="NQJ499" s="97"/>
      <c r="NQK499" s="97"/>
      <c r="NQL499" s="97"/>
      <c r="NQN499" s="94"/>
      <c r="NQO499" s="94"/>
      <c r="NQP499" s="95"/>
      <c r="NQQ499" s="96"/>
      <c r="NQR499" s="97"/>
      <c r="NQS499" s="97"/>
      <c r="NQT499" s="97"/>
      <c r="NQU499" s="97"/>
      <c r="NQV499" s="97"/>
      <c r="NQW499" s="97"/>
      <c r="NQX499" s="97"/>
      <c r="NQY499" s="97"/>
      <c r="NRA499" s="94"/>
      <c r="NRB499" s="94"/>
      <c r="NRC499" s="95"/>
      <c r="NRD499" s="96"/>
      <c r="NRE499" s="97"/>
      <c r="NRF499" s="97"/>
      <c r="NRG499" s="97"/>
      <c r="NRH499" s="97"/>
      <c r="NRI499" s="97"/>
      <c r="NRJ499" s="97"/>
      <c r="NRK499" s="97"/>
      <c r="NRL499" s="97"/>
      <c r="NRN499" s="94"/>
      <c r="NRO499" s="94"/>
      <c r="NRP499" s="95"/>
      <c r="NRQ499" s="96"/>
      <c r="NRR499" s="97"/>
      <c r="NRS499" s="97"/>
      <c r="NRT499" s="97"/>
      <c r="NRU499" s="97"/>
      <c r="NRV499" s="97"/>
      <c r="NRW499" s="97"/>
      <c r="NRX499" s="97"/>
      <c r="NRY499" s="97"/>
      <c r="NSA499" s="94"/>
      <c r="NSB499" s="94"/>
      <c r="NSC499" s="95"/>
      <c r="NSD499" s="96"/>
      <c r="NSE499" s="97"/>
      <c r="NSF499" s="97"/>
      <c r="NSG499" s="97"/>
      <c r="NSH499" s="97"/>
      <c r="NSI499" s="97"/>
      <c r="NSJ499" s="97"/>
      <c r="NSK499" s="97"/>
      <c r="NSL499" s="97"/>
      <c r="NSN499" s="94"/>
      <c r="NSO499" s="94"/>
      <c r="NSP499" s="95"/>
      <c r="NSQ499" s="96"/>
      <c r="NSR499" s="97"/>
      <c r="NSS499" s="97"/>
      <c r="NST499" s="97"/>
      <c r="NSU499" s="97"/>
      <c r="NSV499" s="97"/>
      <c r="NSW499" s="97"/>
      <c r="NSX499" s="97"/>
      <c r="NSY499" s="97"/>
      <c r="NTA499" s="94"/>
      <c r="NTB499" s="94"/>
      <c r="NTC499" s="95"/>
      <c r="NTD499" s="96"/>
      <c r="NTE499" s="97"/>
      <c r="NTF499" s="97"/>
      <c r="NTG499" s="97"/>
      <c r="NTH499" s="97"/>
      <c r="NTI499" s="97"/>
      <c r="NTJ499" s="97"/>
      <c r="NTK499" s="97"/>
      <c r="NTL499" s="97"/>
      <c r="NTN499" s="94"/>
      <c r="NTO499" s="94"/>
      <c r="NTP499" s="95"/>
      <c r="NTQ499" s="96"/>
      <c r="NTR499" s="97"/>
      <c r="NTS499" s="97"/>
      <c r="NTT499" s="97"/>
      <c r="NTU499" s="97"/>
      <c r="NTV499" s="97"/>
      <c r="NTW499" s="97"/>
      <c r="NTX499" s="97"/>
      <c r="NTY499" s="97"/>
      <c r="NUA499" s="94"/>
      <c r="NUB499" s="94"/>
      <c r="NUC499" s="95"/>
      <c r="NUD499" s="96"/>
      <c r="NUE499" s="97"/>
      <c r="NUF499" s="97"/>
      <c r="NUG499" s="97"/>
      <c r="NUH499" s="97"/>
      <c r="NUI499" s="97"/>
      <c r="NUJ499" s="97"/>
      <c r="NUK499" s="97"/>
      <c r="NUL499" s="97"/>
      <c r="NUN499" s="94"/>
      <c r="NUO499" s="94"/>
      <c r="NUP499" s="95"/>
      <c r="NUQ499" s="96"/>
      <c r="NUR499" s="97"/>
      <c r="NUS499" s="97"/>
      <c r="NUT499" s="97"/>
      <c r="NUU499" s="97"/>
      <c r="NUV499" s="97"/>
      <c r="NUW499" s="97"/>
      <c r="NUX499" s="97"/>
      <c r="NUY499" s="97"/>
      <c r="NVA499" s="94"/>
      <c r="NVB499" s="94"/>
      <c r="NVC499" s="95"/>
      <c r="NVD499" s="96"/>
      <c r="NVE499" s="97"/>
      <c r="NVF499" s="97"/>
      <c r="NVG499" s="97"/>
      <c r="NVH499" s="97"/>
      <c r="NVI499" s="97"/>
      <c r="NVJ499" s="97"/>
      <c r="NVK499" s="97"/>
      <c r="NVL499" s="97"/>
      <c r="NVN499" s="94"/>
      <c r="NVO499" s="94"/>
      <c r="NVP499" s="95"/>
      <c r="NVQ499" s="96"/>
      <c r="NVR499" s="97"/>
      <c r="NVS499" s="97"/>
      <c r="NVT499" s="97"/>
      <c r="NVU499" s="97"/>
      <c r="NVV499" s="97"/>
      <c r="NVW499" s="97"/>
      <c r="NVX499" s="97"/>
      <c r="NVY499" s="97"/>
      <c r="NWA499" s="94"/>
      <c r="NWB499" s="94"/>
      <c r="NWC499" s="95"/>
      <c r="NWD499" s="96"/>
      <c r="NWE499" s="97"/>
      <c r="NWF499" s="97"/>
      <c r="NWG499" s="97"/>
      <c r="NWH499" s="97"/>
      <c r="NWI499" s="97"/>
      <c r="NWJ499" s="97"/>
      <c r="NWK499" s="97"/>
      <c r="NWL499" s="97"/>
      <c r="NWN499" s="94"/>
      <c r="NWO499" s="94"/>
      <c r="NWP499" s="95"/>
      <c r="NWQ499" s="96"/>
      <c r="NWR499" s="97"/>
      <c r="NWS499" s="97"/>
      <c r="NWT499" s="97"/>
      <c r="NWU499" s="97"/>
      <c r="NWV499" s="97"/>
      <c r="NWW499" s="97"/>
      <c r="NWX499" s="97"/>
      <c r="NWY499" s="97"/>
      <c r="NXA499" s="94"/>
      <c r="NXB499" s="94"/>
      <c r="NXC499" s="95"/>
      <c r="NXD499" s="96"/>
      <c r="NXE499" s="97"/>
      <c r="NXF499" s="97"/>
      <c r="NXG499" s="97"/>
      <c r="NXH499" s="97"/>
      <c r="NXI499" s="97"/>
      <c r="NXJ499" s="97"/>
      <c r="NXK499" s="97"/>
      <c r="NXL499" s="97"/>
      <c r="NXN499" s="94"/>
      <c r="NXO499" s="94"/>
      <c r="NXP499" s="95"/>
      <c r="NXQ499" s="96"/>
      <c r="NXR499" s="97"/>
      <c r="NXS499" s="97"/>
      <c r="NXT499" s="97"/>
      <c r="NXU499" s="97"/>
      <c r="NXV499" s="97"/>
      <c r="NXW499" s="97"/>
      <c r="NXX499" s="97"/>
      <c r="NXY499" s="97"/>
      <c r="NYA499" s="94"/>
      <c r="NYB499" s="94"/>
      <c r="NYC499" s="95"/>
      <c r="NYD499" s="96"/>
      <c r="NYE499" s="97"/>
      <c r="NYF499" s="97"/>
      <c r="NYG499" s="97"/>
      <c r="NYH499" s="97"/>
      <c r="NYI499" s="97"/>
      <c r="NYJ499" s="97"/>
      <c r="NYK499" s="97"/>
      <c r="NYL499" s="97"/>
      <c r="NYN499" s="94"/>
      <c r="NYO499" s="94"/>
      <c r="NYP499" s="95"/>
      <c r="NYQ499" s="96"/>
      <c r="NYR499" s="97"/>
      <c r="NYS499" s="97"/>
      <c r="NYT499" s="97"/>
      <c r="NYU499" s="97"/>
      <c r="NYV499" s="97"/>
      <c r="NYW499" s="97"/>
      <c r="NYX499" s="97"/>
      <c r="NYY499" s="97"/>
      <c r="NZA499" s="94"/>
      <c r="NZB499" s="94"/>
      <c r="NZC499" s="95"/>
      <c r="NZD499" s="96"/>
      <c r="NZE499" s="97"/>
      <c r="NZF499" s="97"/>
      <c r="NZG499" s="97"/>
      <c r="NZH499" s="97"/>
      <c r="NZI499" s="97"/>
      <c r="NZJ499" s="97"/>
      <c r="NZK499" s="97"/>
      <c r="NZL499" s="97"/>
      <c r="NZN499" s="94"/>
      <c r="NZO499" s="94"/>
      <c r="NZP499" s="95"/>
      <c r="NZQ499" s="96"/>
      <c r="NZR499" s="97"/>
      <c r="NZS499" s="97"/>
      <c r="NZT499" s="97"/>
      <c r="NZU499" s="97"/>
      <c r="NZV499" s="97"/>
      <c r="NZW499" s="97"/>
      <c r="NZX499" s="97"/>
      <c r="NZY499" s="97"/>
      <c r="OAA499" s="94"/>
      <c r="OAB499" s="94"/>
      <c r="OAC499" s="95"/>
      <c r="OAD499" s="96"/>
      <c r="OAE499" s="97"/>
      <c r="OAF499" s="97"/>
      <c r="OAG499" s="97"/>
      <c r="OAH499" s="97"/>
      <c r="OAI499" s="97"/>
      <c r="OAJ499" s="97"/>
      <c r="OAK499" s="97"/>
      <c r="OAL499" s="97"/>
      <c r="OAN499" s="94"/>
      <c r="OAO499" s="94"/>
      <c r="OAP499" s="95"/>
      <c r="OAQ499" s="96"/>
      <c r="OAR499" s="97"/>
      <c r="OAS499" s="97"/>
      <c r="OAT499" s="97"/>
      <c r="OAU499" s="97"/>
      <c r="OAV499" s="97"/>
      <c r="OAW499" s="97"/>
      <c r="OAX499" s="97"/>
      <c r="OAY499" s="97"/>
      <c r="OBA499" s="94"/>
      <c r="OBB499" s="94"/>
      <c r="OBC499" s="95"/>
      <c r="OBD499" s="96"/>
      <c r="OBE499" s="97"/>
      <c r="OBF499" s="97"/>
      <c r="OBG499" s="97"/>
      <c r="OBH499" s="97"/>
      <c r="OBI499" s="97"/>
      <c r="OBJ499" s="97"/>
      <c r="OBK499" s="97"/>
      <c r="OBL499" s="97"/>
      <c r="OBN499" s="94"/>
      <c r="OBO499" s="94"/>
      <c r="OBP499" s="95"/>
      <c r="OBQ499" s="96"/>
      <c r="OBR499" s="97"/>
      <c r="OBS499" s="97"/>
      <c r="OBT499" s="97"/>
      <c r="OBU499" s="97"/>
      <c r="OBV499" s="97"/>
      <c r="OBW499" s="97"/>
      <c r="OBX499" s="97"/>
      <c r="OBY499" s="97"/>
      <c r="OCA499" s="94"/>
      <c r="OCB499" s="94"/>
      <c r="OCC499" s="95"/>
      <c r="OCD499" s="96"/>
      <c r="OCE499" s="97"/>
      <c r="OCF499" s="97"/>
      <c r="OCG499" s="97"/>
      <c r="OCH499" s="97"/>
      <c r="OCI499" s="97"/>
      <c r="OCJ499" s="97"/>
      <c r="OCK499" s="97"/>
      <c r="OCL499" s="97"/>
      <c r="OCN499" s="94"/>
      <c r="OCO499" s="94"/>
      <c r="OCP499" s="95"/>
      <c r="OCQ499" s="96"/>
      <c r="OCR499" s="97"/>
      <c r="OCS499" s="97"/>
      <c r="OCT499" s="97"/>
      <c r="OCU499" s="97"/>
      <c r="OCV499" s="97"/>
      <c r="OCW499" s="97"/>
      <c r="OCX499" s="97"/>
      <c r="OCY499" s="97"/>
      <c r="ODA499" s="94"/>
      <c r="ODB499" s="94"/>
      <c r="ODC499" s="95"/>
      <c r="ODD499" s="96"/>
      <c r="ODE499" s="97"/>
      <c r="ODF499" s="97"/>
      <c r="ODG499" s="97"/>
      <c r="ODH499" s="97"/>
      <c r="ODI499" s="97"/>
      <c r="ODJ499" s="97"/>
      <c r="ODK499" s="97"/>
      <c r="ODL499" s="97"/>
      <c r="ODN499" s="94"/>
      <c r="ODO499" s="94"/>
      <c r="ODP499" s="95"/>
      <c r="ODQ499" s="96"/>
      <c r="ODR499" s="97"/>
      <c r="ODS499" s="97"/>
      <c r="ODT499" s="97"/>
      <c r="ODU499" s="97"/>
      <c r="ODV499" s="97"/>
      <c r="ODW499" s="97"/>
      <c r="ODX499" s="97"/>
      <c r="ODY499" s="97"/>
      <c r="OEA499" s="94"/>
      <c r="OEB499" s="94"/>
      <c r="OEC499" s="95"/>
      <c r="OED499" s="96"/>
      <c r="OEE499" s="97"/>
      <c r="OEF499" s="97"/>
      <c r="OEG499" s="97"/>
      <c r="OEH499" s="97"/>
      <c r="OEI499" s="97"/>
      <c r="OEJ499" s="97"/>
      <c r="OEK499" s="97"/>
      <c r="OEL499" s="97"/>
      <c r="OEN499" s="94"/>
      <c r="OEO499" s="94"/>
      <c r="OEP499" s="95"/>
      <c r="OEQ499" s="96"/>
      <c r="OER499" s="97"/>
      <c r="OES499" s="97"/>
      <c r="OET499" s="97"/>
      <c r="OEU499" s="97"/>
      <c r="OEV499" s="97"/>
      <c r="OEW499" s="97"/>
      <c r="OEX499" s="97"/>
      <c r="OEY499" s="97"/>
      <c r="OFA499" s="94"/>
      <c r="OFB499" s="94"/>
      <c r="OFC499" s="95"/>
      <c r="OFD499" s="96"/>
      <c r="OFE499" s="97"/>
      <c r="OFF499" s="97"/>
      <c r="OFG499" s="97"/>
      <c r="OFH499" s="97"/>
      <c r="OFI499" s="97"/>
      <c r="OFJ499" s="97"/>
      <c r="OFK499" s="97"/>
      <c r="OFL499" s="97"/>
      <c r="OFN499" s="94"/>
      <c r="OFO499" s="94"/>
      <c r="OFP499" s="95"/>
      <c r="OFQ499" s="96"/>
      <c r="OFR499" s="97"/>
      <c r="OFS499" s="97"/>
      <c r="OFT499" s="97"/>
      <c r="OFU499" s="97"/>
      <c r="OFV499" s="97"/>
      <c r="OFW499" s="97"/>
      <c r="OFX499" s="97"/>
      <c r="OFY499" s="97"/>
      <c r="OGA499" s="94"/>
      <c r="OGB499" s="94"/>
      <c r="OGC499" s="95"/>
      <c r="OGD499" s="96"/>
      <c r="OGE499" s="97"/>
      <c r="OGF499" s="97"/>
      <c r="OGG499" s="97"/>
      <c r="OGH499" s="97"/>
      <c r="OGI499" s="97"/>
      <c r="OGJ499" s="97"/>
      <c r="OGK499" s="97"/>
      <c r="OGL499" s="97"/>
      <c r="OGN499" s="94"/>
      <c r="OGO499" s="94"/>
      <c r="OGP499" s="95"/>
      <c r="OGQ499" s="96"/>
      <c r="OGR499" s="97"/>
      <c r="OGS499" s="97"/>
      <c r="OGT499" s="97"/>
      <c r="OGU499" s="97"/>
      <c r="OGV499" s="97"/>
      <c r="OGW499" s="97"/>
      <c r="OGX499" s="97"/>
      <c r="OGY499" s="97"/>
      <c r="OHA499" s="94"/>
      <c r="OHB499" s="94"/>
      <c r="OHC499" s="95"/>
      <c r="OHD499" s="96"/>
      <c r="OHE499" s="97"/>
      <c r="OHF499" s="97"/>
      <c r="OHG499" s="97"/>
      <c r="OHH499" s="97"/>
      <c r="OHI499" s="97"/>
      <c r="OHJ499" s="97"/>
      <c r="OHK499" s="97"/>
      <c r="OHL499" s="97"/>
      <c r="OHN499" s="94"/>
      <c r="OHO499" s="94"/>
      <c r="OHP499" s="95"/>
      <c r="OHQ499" s="96"/>
      <c r="OHR499" s="97"/>
      <c r="OHS499" s="97"/>
      <c r="OHT499" s="97"/>
      <c r="OHU499" s="97"/>
      <c r="OHV499" s="97"/>
      <c r="OHW499" s="97"/>
      <c r="OHX499" s="97"/>
      <c r="OHY499" s="97"/>
      <c r="OIA499" s="94"/>
      <c r="OIB499" s="94"/>
      <c r="OIC499" s="95"/>
      <c r="OID499" s="96"/>
      <c r="OIE499" s="97"/>
      <c r="OIF499" s="97"/>
      <c r="OIG499" s="97"/>
      <c r="OIH499" s="97"/>
      <c r="OII499" s="97"/>
      <c r="OIJ499" s="97"/>
      <c r="OIK499" s="97"/>
      <c r="OIL499" s="97"/>
      <c r="OIN499" s="94"/>
      <c r="OIO499" s="94"/>
      <c r="OIP499" s="95"/>
      <c r="OIQ499" s="96"/>
      <c r="OIR499" s="97"/>
      <c r="OIS499" s="97"/>
      <c r="OIT499" s="97"/>
      <c r="OIU499" s="97"/>
      <c r="OIV499" s="97"/>
      <c r="OIW499" s="97"/>
      <c r="OIX499" s="97"/>
      <c r="OIY499" s="97"/>
      <c r="OJA499" s="94"/>
      <c r="OJB499" s="94"/>
      <c r="OJC499" s="95"/>
      <c r="OJD499" s="96"/>
      <c r="OJE499" s="97"/>
      <c r="OJF499" s="97"/>
      <c r="OJG499" s="97"/>
      <c r="OJH499" s="97"/>
      <c r="OJI499" s="97"/>
      <c r="OJJ499" s="97"/>
      <c r="OJK499" s="97"/>
      <c r="OJL499" s="97"/>
      <c r="OJN499" s="94"/>
      <c r="OJO499" s="94"/>
      <c r="OJP499" s="95"/>
      <c r="OJQ499" s="96"/>
      <c r="OJR499" s="97"/>
      <c r="OJS499" s="97"/>
      <c r="OJT499" s="97"/>
      <c r="OJU499" s="97"/>
      <c r="OJV499" s="97"/>
      <c r="OJW499" s="97"/>
      <c r="OJX499" s="97"/>
      <c r="OJY499" s="97"/>
      <c r="OKA499" s="94"/>
      <c r="OKB499" s="94"/>
      <c r="OKC499" s="95"/>
      <c r="OKD499" s="96"/>
      <c r="OKE499" s="97"/>
      <c r="OKF499" s="97"/>
      <c r="OKG499" s="97"/>
      <c r="OKH499" s="97"/>
      <c r="OKI499" s="97"/>
      <c r="OKJ499" s="97"/>
      <c r="OKK499" s="97"/>
      <c r="OKL499" s="97"/>
      <c r="OKN499" s="94"/>
      <c r="OKO499" s="94"/>
      <c r="OKP499" s="95"/>
      <c r="OKQ499" s="96"/>
      <c r="OKR499" s="97"/>
      <c r="OKS499" s="97"/>
      <c r="OKT499" s="97"/>
      <c r="OKU499" s="97"/>
      <c r="OKV499" s="97"/>
      <c r="OKW499" s="97"/>
      <c r="OKX499" s="97"/>
      <c r="OKY499" s="97"/>
      <c r="OLA499" s="94"/>
      <c r="OLB499" s="94"/>
      <c r="OLC499" s="95"/>
      <c r="OLD499" s="96"/>
      <c r="OLE499" s="97"/>
      <c r="OLF499" s="97"/>
      <c r="OLG499" s="97"/>
      <c r="OLH499" s="97"/>
      <c r="OLI499" s="97"/>
      <c r="OLJ499" s="97"/>
      <c r="OLK499" s="97"/>
      <c r="OLL499" s="97"/>
      <c r="OLN499" s="94"/>
      <c r="OLO499" s="94"/>
      <c r="OLP499" s="95"/>
      <c r="OLQ499" s="96"/>
      <c r="OLR499" s="97"/>
      <c r="OLS499" s="97"/>
      <c r="OLT499" s="97"/>
      <c r="OLU499" s="97"/>
      <c r="OLV499" s="97"/>
      <c r="OLW499" s="97"/>
      <c r="OLX499" s="97"/>
      <c r="OLY499" s="97"/>
      <c r="OMA499" s="94"/>
      <c r="OMB499" s="94"/>
      <c r="OMC499" s="95"/>
      <c r="OMD499" s="96"/>
      <c r="OME499" s="97"/>
      <c r="OMF499" s="97"/>
      <c r="OMG499" s="97"/>
      <c r="OMH499" s="97"/>
      <c r="OMI499" s="97"/>
      <c r="OMJ499" s="97"/>
      <c r="OMK499" s="97"/>
      <c r="OML499" s="97"/>
      <c r="OMN499" s="94"/>
      <c r="OMO499" s="94"/>
      <c r="OMP499" s="95"/>
      <c r="OMQ499" s="96"/>
      <c r="OMR499" s="97"/>
      <c r="OMS499" s="97"/>
      <c r="OMT499" s="97"/>
      <c r="OMU499" s="97"/>
      <c r="OMV499" s="97"/>
      <c r="OMW499" s="97"/>
      <c r="OMX499" s="97"/>
      <c r="OMY499" s="97"/>
      <c r="ONA499" s="94"/>
      <c r="ONB499" s="94"/>
      <c r="ONC499" s="95"/>
      <c r="OND499" s="96"/>
      <c r="ONE499" s="97"/>
      <c r="ONF499" s="97"/>
      <c r="ONG499" s="97"/>
      <c r="ONH499" s="97"/>
      <c r="ONI499" s="97"/>
      <c r="ONJ499" s="97"/>
      <c r="ONK499" s="97"/>
      <c r="ONL499" s="97"/>
      <c r="ONN499" s="94"/>
      <c r="ONO499" s="94"/>
      <c r="ONP499" s="95"/>
      <c r="ONQ499" s="96"/>
      <c r="ONR499" s="97"/>
      <c r="ONS499" s="97"/>
      <c r="ONT499" s="97"/>
      <c r="ONU499" s="97"/>
      <c r="ONV499" s="97"/>
      <c r="ONW499" s="97"/>
      <c r="ONX499" s="97"/>
      <c r="ONY499" s="97"/>
      <c r="OOA499" s="94"/>
      <c r="OOB499" s="94"/>
      <c r="OOC499" s="95"/>
      <c r="OOD499" s="96"/>
      <c r="OOE499" s="97"/>
      <c r="OOF499" s="97"/>
      <c r="OOG499" s="97"/>
      <c r="OOH499" s="97"/>
      <c r="OOI499" s="97"/>
      <c r="OOJ499" s="97"/>
      <c r="OOK499" s="97"/>
      <c r="OOL499" s="97"/>
      <c r="OON499" s="94"/>
      <c r="OOO499" s="94"/>
      <c r="OOP499" s="95"/>
      <c r="OOQ499" s="96"/>
      <c r="OOR499" s="97"/>
      <c r="OOS499" s="97"/>
      <c r="OOT499" s="97"/>
      <c r="OOU499" s="97"/>
      <c r="OOV499" s="97"/>
      <c r="OOW499" s="97"/>
      <c r="OOX499" s="97"/>
      <c r="OOY499" s="97"/>
      <c r="OPA499" s="94"/>
      <c r="OPB499" s="94"/>
      <c r="OPC499" s="95"/>
      <c r="OPD499" s="96"/>
      <c r="OPE499" s="97"/>
      <c r="OPF499" s="97"/>
      <c r="OPG499" s="97"/>
      <c r="OPH499" s="97"/>
      <c r="OPI499" s="97"/>
      <c r="OPJ499" s="97"/>
      <c r="OPK499" s="97"/>
      <c r="OPL499" s="97"/>
      <c r="OPN499" s="94"/>
      <c r="OPO499" s="94"/>
      <c r="OPP499" s="95"/>
      <c r="OPQ499" s="96"/>
      <c r="OPR499" s="97"/>
      <c r="OPS499" s="97"/>
      <c r="OPT499" s="97"/>
      <c r="OPU499" s="97"/>
      <c r="OPV499" s="97"/>
      <c r="OPW499" s="97"/>
      <c r="OPX499" s="97"/>
      <c r="OPY499" s="97"/>
      <c r="OQA499" s="94"/>
      <c r="OQB499" s="94"/>
      <c r="OQC499" s="95"/>
      <c r="OQD499" s="96"/>
      <c r="OQE499" s="97"/>
      <c r="OQF499" s="97"/>
      <c r="OQG499" s="97"/>
      <c r="OQH499" s="97"/>
      <c r="OQI499" s="97"/>
      <c r="OQJ499" s="97"/>
      <c r="OQK499" s="97"/>
      <c r="OQL499" s="97"/>
      <c r="OQN499" s="94"/>
      <c r="OQO499" s="94"/>
      <c r="OQP499" s="95"/>
      <c r="OQQ499" s="96"/>
      <c r="OQR499" s="97"/>
      <c r="OQS499" s="97"/>
      <c r="OQT499" s="97"/>
      <c r="OQU499" s="97"/>
      <c r="OQV499" s="97"/>
      <c r="OQW499" s="97"/>
      <c r="OQX499" s="97"/>
      <c r="OQY499" s="97"/>
      <c r="ORA499" s="94"/>
      <c r="ORB499" s="94"/>
      <c r="ORC499" s="95"/>
      <c r="ORD499" s="96"/>
      <c r="ORE499" s="97"/>
      <c r="ORF499" s="97"/>
      <c r="ORG499" s="97"/>
      <c r="ORH499" s="97"/>
      <c r="ORI499" s="97"/>
      <c r="ORJ499" s="97"/>
      <c r="ORK499" s="97"/>
      <c r="ORL499" s="97"/>
      <c r="ORN499" s="94"/>
      <c r="ORO499" s="94"/>
      <c r="ORP499" s="95"/>
      <c r="ORQ499" s="96"/>
      <c r="ORR499" s="97"/>
      <c r="ORS499" s="97"/>
      <c r="ORT499" s="97"/>
      <c r="ORU499" s="97"/>
      <c r="ORV499" s="97"/>
      <c r="ORW499" s="97"/>
      <c r="ORX499" s="97"/>
      <c r="ORY499" s="97"/>
      <c r="OSA499" s="94"/>
      <c r="OSB499" s="94"/>
      <c r="OSC499" s="95"/>
      <c r="OSD499" s="96"/>
      <c r="OSE499" s="97"/>
      <c r="OSF499" s="97"/>
      <c r="OSG499" s="97"/>
      <c r="OSH499" s="97"/>
      <c r="OSI499" s="97"/>
      <c r="OSJ499" s="97"/>
      <c r="OSK499" s="97"/>
      <c r="OSL499" s="97"/>
      <c r="OSN499" s="94"/>
      <c r="OSO499" s="94"/>
      <c r="OSP499" s="95"/>
      <c r="OSQ499" s="96"/>
      <c r="OSR499" s="97"/>
      <c r="OSS499" s="97"/>
      <c r="OST499" s="97"/>
      <c r="OSU499" s="97"/>
      <c r="OSV499" s="97"/>
      <c r="OSW499" s="97"/>
      <c r="OSX499" s="97"/>
      <c r="OSY499" s="97"/>
      <c r="OTA499" s="94"/>
      <c r="OTB499" s="94"/>
      <c r="OTC499" s="95"/>
      <c r="OTD499" s="96"/>
      <c r="OTE499" s="97"/>
      <c r="OTF499" s="97"/>
      <c r="OTG499" s="97"/>
      <c r="OTH499" s="97"/>
      <c r="OTI499" s="97"/>
      <c r="OTJ499" s="97"/>
      <c r="OTK499" s="97"/>
      <c r="OTL499" s="97"/>
      <c r="OTN499" s="94"/>
      <c r="OTO499" s="94"/>
      <c r="OTP499" s="95"/>
      <c r="OTQ499" s="96"/>
      <c r="OTR499" s="97"/>
      <c r="OTS499" s="97"/>
      <c r="OTT499" s="97"/>
      <c r="OTU499" s="97"/>
      <c r="OTV499" s="97"/>
      <c r="OTW499" s="97"/>
      <c r="OTX499" s="97"/>
      <c r="OTY499" s="97"/>
      <c r="OUA499" s="94"/>
      <c r="OUB499" s="94"/>
      <c r="OUC499" s="95"/>
      <c r="OUD499" s="96"/>
      <c r="OUE499" s="97"/>
      <c r="OUF499" s="97"/>
      <c r="OUG499" s="97"/>
      <c r="OUH499" s="97"/>
      <c r="OUI499" s="97"/>
      <c r="OUJ499" s="97"/>
      <c r="OUK499" s="97"/>
      <c r="OUL499" s="97"/>
      <c r="OUN499" s="94"/>
      <c r="OUO499" s="94"/>
      <c r="OUP499" s="95"/>
      <c r="OUQ499" s="96"/>
      <c r="OUR499" s="97"/>
      <c r="OUS499" s="97"/>
      <c r="OUT499" s="97"/>
      <c r="OUU499" s="97"/>
      <c r="OUV499" s="97"/>
      <c r="OUW499" s="97"/>
      <c r="OUX499" s="97"/>
      <c r="OUY499" s="97"/>
      <c r="OVA499" s="94"/>
      <c r="OVB499" s="94"/>
      <c r="OVC499" s="95"/>
      <c r="OVD499" s="96"/>
      <c r="OVE499" s="97"/>
      <c r="OVF499" s="97"/>
      <c r="OVG499" s="97"/>
      <c r="OVH499" s="97"/>
      <c r="OVI499" s="97"/>
      <c r="OVJ499" s="97"/>
      <c r="OVK499" s="97"/>
      <c r="OVL499" s="97"/>
      <c r="OVN499" s="94"/>
      <c r="OVO499" s="94"/>
      <c r="OVP499" s="95"/>
      <c r="OVQ499" s="96"/>
      <c r="OVR499" s="97"/>
      <c r="OVS499" s="97"/>
      <c r="OVT499" s="97"/>
      <c r="OVU499" s="97"/>
      <c r="OVV499" s="97"/>
      <c r="OVW499" s="97"/>
      <c r="OVX499" s="97"/>
      <c r="OVY499" s="97"/>
      <c r="OWA499" s="94"/>
      <c r="OWB499" s="94"/>
      <c r="OWC499" s="95"/>
      <c r="OWD499" s="96"/>
      <c r="OWE499" s="97"/>
      <c r="OWF499" s="97"/>
      <c r="OWG499" s="97"/>
      <c r="OWH499" s="97"/>
      <c r="OWI499" s="97"/>
      <c r="OWJ499" s="97"/>
      <c r="OWK499" s="97"/>
      <c r="OWL499" s="97"/>
      <c r="OWN499" s="94"/>
      <c r="OWO499" s="94"/>
      <c r="OWP499" s="95"/>
      <c r="OWQ499" s="96"/>
      <c r="OWR499" s="97"/>
      <c r="OWS499" s="97"/>
      <c r="OWT499" s="97"/>
      <c r="OWU499" s="97"/>
      <c r="OWV499" s="97"/>
      <c r="OWW499" s="97"/>
      <c r="OWX499" s="97"/>
      <c r="OWY499" s="97"/>
      <c r="OXA499" s="94"/>
      <c r="OXB499" s="94"/>
      <c r="OXC499" s="95"/>
      <c r="OXD499" s="96"/>
      <c r="OXE499" s="97"/>
      <c r="OXF499" s="97"/>
      <c r="OXG499" s="97"/>
      <c r="OXH499" s="97"/>
      <c r="OXI499" s="97"/>
      <c r="OXJ499" s="97"/>
      <c r="OXK499" s="97"/>
      <c r="OXL499" s="97"/>
      <c r="OXN499" s="94"/>
      <c r="OXO499" s="94"/>
      <c r="OXP499" s="95"/>
      <c r="OXQ499" s="96"/>
      <c r="OXR499" s="97"/>
      <c r="OXS499" s="97"/>
      <c r="OXT499" s="97"/>
      <c r="OXU499" s="97"/>
      <c r="OXV499" s="97"/>
      <c r="OXW499" s="97"/>
      <c r="OXX499" s="97"/>
      <c r="OXY499" s="97"/>
      <c r="OYA499" s="94"/>
      <c r="OYB499" s="94"/>
      <c r="OYC499" s="95"/>
      <c r="OYD499" s="96"/>
      <c r="OYE499" s="97"/>
      <c r="OYF499" s="97"/>
      <c r="OYG499" s="97"/>
      <c r="OYH499" s="97"/>
      <c r="OYI499" s="97"/>
      <c r="OYJ499" s="97"/>
      <c r="OYK499" s="97"/>
      <c r="OYL499" s="97"/>
      <c r="OYN499" s="94"/>
      <c r="OYO499" s="94"/>
      <c r="OYP499" s="95"/>
      <c r="OYQ499" s="96"/>
      <c r="OYR499" s="97"/>
      <c r="OYS499" s="97"/>
      <c r="OYT499" s="97"/>
      <c r="OYU499" s="97"/>
      <c r="OYV499" s="97"/>
      <c r="OYW499" s="97"/>
      <c r="OYX499" s="97"/>
      <c r="OYY499" s="97"/>
      <c r="OZA499" s="94"/>
      <c r="OZB499" s="94"/>
      <c r="OZC499" s="95"/>
      <c r="OZD499" s="96"/>
      <c r="OZE499" s="97"/>
      <c r="OZF499" s="97"/>
      <c r="OZG499" s="97"/>
      <c r="OZH499" s="97"/>
      <c r="OZI499" s="97"/>
      <c r="OZJ499" s="97"/>
      <c r="OZK499" s="97"/>
      <c r="OZL499" s="97"/>
      <c r="OZN499" s="94"/>
      <c r="OZO499" s="94"/>
      <c r="OZP499" s="95"/>
      <c r="OZQ499" s="96"/>
      <c r="OZR499" s="97"/>
      <c r="OZS499" s="97"/>
      <c r="OZT499" s="97"/>
      <c r="OZU499" s="97"/>
      <c r="OZV499" s="97"/>
      <c r="OZW499" s="97"/>
      <c r="OZX499" s="97"/>
      <c r="OZY499" s="97"/>
      <c r="PAA499" s="94"/>
      <c r="PAB499" s="94"/>
      <c r="PAC499" s="95"/>
      <c r="PAD499" s="96"/>
      <c r="PAE499" s="97"/>
      <c r="PAF499" s="97"/>
      <c r="PAG499" s="97"/>
      <c r="PAH499" s="97"/>
      <c r="PAI499" s="97"/>
      <c r="PAJ499" s="97"/>
      <c r="PAK499" s="97"/>
      <c r="PAL499" s="97"/>
      <c r="PAN499" s="94"/>
      <c r="PAO499" s="94"/>
      <c r="PAP499" s="95"/>
      <c r="PAQ499" s="96"/>
      <c r="PAR499" s="97"/>
      <c r="PAS499" s="97"/>
      <c r="PAT499" s="97"/>
      <c r="PAU499" s="97"/>
      <c r="PAV499" s="97"/>
      <c r="PAW499" s="97"/>
      <c r="PAX499" s="97"/>
      <c r="PAY499" s="97"/>
      <c r="PBA499" s="94"/>
      <c r="PBB499" s="94"/>
      <c r="PBC499" s="95"/>
      <c r="PBD499" s="96"/>
      <c r="PBE499" s="97"/>
      <c r="PBF499" s="97"/>
      <c r="PBG499" s="97"/>
      <c r="PBH499" s="97"/>
      <c r="PBI499" s="97"/>
      <c r="PBJ499" s="97"/>
      <c r="PBK499" s="97"/>
      <c r="PBL499" s="97"/>
      <c r="PBN499" s="94"/>
      <c r="PBO499" s="94"/>
      <c r="PBP499" s="95"/>
      <c r="PBQ499" s="96"/>
      <c r="PBR499" s="97"/>
      <c r="PBS499" s="97"/>
      <c r="PBT499" s="97"/>
      <c r="PBU499" s="97"/>
      <c r="PBV499" s="97"/>
      <c r="PBW499" s="97"/>
      <c r="PBX499" s="97"/>
      <c r="PBY499" s="97"/>
      <c r="PCA499" s="94"/>
      <c r="PCB499" s="94"/>
      <c r="PCC499" s="95"/>
      <c r="PCD499" s="96"/>
      <c r="PCE499" s="97"/>
      <c r="PCF499" s="97"/>
      <c r="PCG499" s="97"/>
      <c r="PCH499" s="97"/>
      <c r="PCI499" s="97"/>
      <c r="PCJ499" s="97"/>
      <c r="PCK499" s="97"/>
      <c r="PCL499" s="97"/>
      <c r="PCN499" s="94"/>
      <c r="PCO499" s="94"/>
      <c r="PCP499" s="95"/>
      <c r="PCQ499" s="96"/>
      <c r="PCR499" s="97"/>
      <c r="PCS499" s="97"/>
      <c r="PCT499" s="97"/>
      <c r="PCU499" s="97"/>
      <c r="PCV499" s="97"/>
      <c r="PCW499" s="97"/>
      <c r="PCX499" s="97"/>
      <c r="PCY499" s="97"/>
      <c r="PDA499" s="94"/>
      <c r="PDB499" s="94"/>
      <c r="PDC499" s="95"/>
      <c r="PDD499" s="96"/>
      <c r="PDE499" s="97"/>
      <c r="PDF499" s="97"/>
      <c r="PDG499" s="97"/>
      <c r="PDH499" s="97"/>
      <c r="PDI499" s="97"/>
      <c r="PDJ499" s="97"/>
      <c r="PDK499" s="97"/>
      <c r="PDL499" s="97"/>
      <c r="PDN499" s="94"/>
      <c r="PDO499" s="94"/>
      <c r="PDP499" s="95"/>
      <c r="PDQ499" s="96"/>
      <c r="PDR499" s="97"/>
      <c r="PDS499" s="97"/>
      <c r="PDT499" s="97"/>
      <c r="PDU499" s="97"/>
      <c r="PDV499" s="97"/>
      <c r="PDW499" s="97"/>
      <c r="PDX499" s="97"/>
      <c r="PDY499" s="97"/>
      <c r="PEA499" s="94"/>
      <c r="PEB499" s="94"/>
      <c r="PEC499" s="95"/>
      <c r="PED499" s="96"/>
      <c r="PEE499" s="97"/>
      <c r="PEF499" s="97"/>
      <c r="PEG499" s="97"/>
      <c r="PEH499" s="97"/>
      <c r="PEI499" s="97"/>
      <c r="PEJ499" s="97"/>
      <c r="PEK499" s="97"/>
      <c r="PEL499" s="97"/>
      <c r="PEN499" s="94"/>
      <c r="PEO499" s="94"/>
      <c r="PEP499" s="95"/>
      <c r="PEQ499" s="96"/>
      <c r="PER499" s="97"/>
      <c r="PES499" s="97"/>
      <c r="PET499" s="97"/>
      <c r="PEU499" s="97"/>
      <c r="PEV499" s="97"/>
      <c r="PEW499" s="97"/>
      <c r="PEX499" s="97"/>
      <c r="PEY499" s="97"/>
      <c r="PFA499" s="94"/>
      <c r="PFB499" s="94"/>
      <c r="PFC499" s="95"/>
      <c r="PFD499" s="96"/>
      <c r="PFE499" s="97"/>
      <c r="PFF499" s="97"/>
      <c r="PFG499" s="97"/>
      <c r="PFH499" s="97"/>
      <c r="PFI499" s="97"/>
      <c r="PFJ499" s="97"/>
      <c r="PFK499" s="97"/>
      <c r="PFL499" s="97"/>
      <c r="PFN499" s="94"/>
      <c r="PFO499" s="94"/>
      <c r="PFP499" s="95"/>
      <c r="PFQ499" s="96"/>
      <c r="PFR499" s="97"/>
      <c r="PFS499" s="97"/>
      <c r="PFT499" s="97"/>
      <c r="PFU499" s="97"/>
      <c r="PFV499" s="97"/>
      <c r="PFW499" s="97"/>
      <c r="PFX499" s="97"/>
      <c r="PFY499" s="97"/>
      <c r="PGA499" s="94"/>
      <c r="PGB499" s="94"/>
      <c r="PGC499" s="95"/>
      <c r="PGD499" s="96"/>
      <c r="PGE499" s="97"/>
      <c r="PGF499" s="97"/>
      <c r="PGG499" s="97"/>
      <c r="PGH499" s="97"/>
      <c r="PGI499" s="97"/>
      <c r="PGJ499" s="97"/>
      <c r="PGK499" s="97"/>
      <c r="PGL499" s="97"/>
      <c r="PGN499" s="94"/>
      <c r="PGO499" s="94"/>
      <c r="PGP499" s="95"/>
      <c r="PGQ499" s="96"/>
      <c r="PGR499" s="97"/>
      <c r="PGS499" s="97"/>
      <c r="PGT499" s="97"/>
      <c r="PGU499" s="97"/>
      <c r="PGV499" s="97"/>
      <c r="PGW499" s="97"/>
      <c r="PGX499" s="97"/>
      <c r="PGY499" s="97"/>
      <c r="PHA499" s="94"/>
      <c r="PHB499" s="94"/>
      <c r="PHC499" s="95"/>
      <c r="PHD499" s="96"/>
      <c r="PHE499" s="97"/>
      <c r="PHF499" s="97"/>
      <c r="PHG499" s="97"/>
      <c r="PHH499" s="97"/>
      <c r="PHI499" s="97"/>
      <c r="PHJ499" s="97"/>
      <c r="PHK499" s="97"/>
      <c r="PHL499" s="97"/>
      <c r="PHN499" s="94"/>
      <c r="PHO499" s="94"/>
      <c r="PHP499" s="95"/>
      <c r="PHQ499" s="96"/>
      <c r="PHR499" s="97"/>
      <c r="PHS499" s="97"/>
      <c r="PHT499" s="97"/>
      <c r="PHU499" s="97"/>
      <c r="PHV499" s="97"/>
      <c r="PHW499" s="97"/>
      <c r="PHX499" s="97"/>
      <c r="PHY499" s="97"/>
      <c r="PIA499" s="94"/>
      <c r="PIB499" s="94"/>
      <c r="PIC499" s="95"/>
      <c r="PID499" s="96"/>
      <c r="PIE499" s="97"/>
      <c r="PIF499" s="97"/>
      <c r="PIG499" s="97"/>
      <c r="PIH499" s="97"/>
      <c r="PII499" s="97"/>
      <c r="PIJ499" s="97"/>
      <c r="PIK499" s="97"/>
      <c r="PIL499" s="97"/>
      <c r="PIN499" s="94"/>
      <c r="PIO499" s="94"/>
      <c r="PIP499" s="95"/>
      <c r="PIQ499" s="96"/>
      <c r="PIR499" s="97"/>
      <c r="PIS499" s="97"/>
      <c r="PIT499" s="97"/>
      <c r="PIU499" s="97"/>
      <c r="PIV499" s="97"/>
      <c r="PIW499" s="97"/>
      <c r="PIX499" s="97"/>
      <c r="PIY499" s="97"/>
      <c r="PJA499" s="94"/>
      <c r="PJB499" s="94"/>
      <c r="PJC499" s="95"/>
      <c r="PJD499" s="96"/>
      <c r="PJE499" s="97"/>
      <c r="PJF499" s="97"/>
      <c r="PJG499" s="97"/>
      <c r="PJH499" s="97"/>
      <c r="PJI499" s="97"/>
      <c r="PJJ499" s="97"/>
      <c r="PJK499" s="97"/>
      <c r="PJL499" s="97"/>
      <c r="PJN499" s="94"/>
      <c r="PJO499" s="94"/>
      <c r="PJP499" s="95"/>
      <c r="PJQ499" s="96"/>
      <c r="PJR499" s="97"/>
      <c r="PJS499" s="97"/>
      <c r="PJT499" s="97"/>
      <c r="PJU499" s="97"/>
      <c r="PJV499" s="97"/>
      <c r="PJW499" s="97"/>
      <c r="PJX499" s="97"/>
      <c r="PJY499" s="97"/>
      <c r="PKA499" s="94"/>
      <c r="PKB499" s="94"/>
      <c r="PKC499" s="95"/>
      <c r="PKD499" s="96"/>
      <c r="PKE499" s="97"/>
      <c r="PKF499" s="97"/>
      <c r="PKG499" s="97"/>
      <c r="PKH499" s="97"/>
      <c r="PKI499" s="97"/>
      <c r="PKJ499" s="97"/>
      <c r="PKK499" s="97"/>
      <c r="PKL499" s="97"/>
      <c r="PKN499" s="94"/>
      <c r="PKO499" s="94"/>
      <c r="PKP499" s="95"/>
      <c r="PKQ499" s="96"/>
      <c r="PKR499" s="97"/>
      <c r="PKS499" s="97"/>
      <c r="PKT499" s="97"/>
      <c r="PKU499" s="97"/>
      <c r="PKV499" s="97"/>
      <c r="PKW499" s="97"/>
      <c r="PKX499" s="97"/>
      <c r="PKY499" s="97"/>
      <c r="PLA499" s="94"/>
      <c r="PLB499" s="94"/>
      <c r="PLC499" s="95"/>
      <c r="PLD499" s="96"/>
      <c r="PLE499" s="97"/>
      <c r="PLF499" s="97"/>
      <c r="PLG499" s="97"/>
      <c r="PLH499" s="97"/>
      <c r="PLI499" s="97"/>
      <c r="PLJ499" s="97"/>
      <c r="PLK499" s="97"/>
      <c r="PLL499" s="97"/>
      <c r="PLN499" s="94"/>
      <c r="PLO499" s="94"/>
      <c r="PLP499" s="95"/>
      <c r="PLQ499" s="96"/>
      <c r="PLR499" s="97"/>
      <c r="PLS499" s="97"/>
      <c r="PLT499" s="97"/>
      <c r="PLU499" s="97"/>
      <c r="PLV499" s="97"/>
      <c r="PLW499" s="97"/>
      <c r="PLX499" s="97"/>
      <c r="PLY499" s="97"/>
      <c r="PMA499" s="94"/>
      <c r="PMB499" s="94"/>
      <c r="PMC499" s="95"/>
      <c r="PMD499" s="96"/>
      <c r="PME499" s="97"/>
      <c r="PMF499" s="97"/>
      <c r="PMG499" s="97"/>
      <c r="PMH499" s="97"/>
      <c r="PMI499" s="97"/>
      <c r="PMJ499" s="97"/>
      <c r="PMK499" s="97"/>
      <c r="PML499" s="97"/>
      <c r="PMN499" s="94"/>
      <c r="PMO499" s="94"/>
      <c r="PMP499" s="95"/>
      <c r="PMQ499" s="96"/>
      <c r="PMR499" s="97"/>
      <c r="PMS499" s="97"/>
      <c r="PMT499" s="97"/>
      <c r="PMU499" s="97"/>
      <c r="PMV499" s="97"/>
      <c r="PMW499" s="97"/>
      <c r="PMX499" s="97"/>
      <c r="PMY499" s="97"/>
      <c r="PNA499" s="94"/>
      <c r="PNB499" s="94"/>
      <c r="PNC499" s="95"/>
      <c r="PND499" s="96"/>
      <c r="PNE499" s="97"/>
      <c r="PNF499" s="97"/>
      <c r="PNG499" s="97"/>
      <c r="PNH499" s="97"/>
      <c r="PNI499" s="97"/>
      <c r="PNJ499" s="97"/>
      <c r="PNK499" s="97"/>
      <c r="PNL499" s="97"/>
      <c r="PNN499" s="94"/>
      <c r="PNO499" s="94"/>
      <c r="PNP499" s="95"/>
      <c r="PNQ499" s="96"/>
      <c r="PNR499" s="97"/>
      <c r="PNS499" s="97"/>
      <c r="PNT499" s="97"/>
      <c r="PNU499" s="97"/>
      <c r="PNV499" s="97"/>
      <c r="PNW499" s="97"/>
      <c r="PNX499" s="97"/>
      <c r="PNY499" s="97"/>
      <c r="POA499" s="94"/>
      <c r="POB499" s="94"/>
      <c r="POC499" s="95"/>
      <c r="POD499" s="96"/>
      <c r="POE499" s="97"/>
      <c r="POF499" s="97"/>
      <c r="POG499" s="97"/>
      <c r="POH499" s="97"/>
      <c r="POI499" s="97"/>
      <c r="POJ499" s="97"/>
      <c r="POK499" s="97"/>
      <c r="POL499" s="97"/>
      <c r="PON499" s="94"/>
      <c r="POO499" s="94"/>
      <c r="POP499" s="95"/>
      <c r="POQ499" s="96"/>
      <c r="POR499" s="97"/>
      <c r="POS499" s="97"/>
      <c r="POT499" s="97"/>
      <c r="POU499" s="97"/>
      <c r="POV499" s="97"/>
      <c r="POW499" s="97"/>
      <c r="POX499" s="97"/>
      <c r="POY499" s="97"/>
      <c r="PPA499" s="94"/>
      <c r="PPB499" s="94"/>
      <c r="PPC499" s="95"/>
      <c r="PPD499" s="96"/>
      <c r="PPE499" s="97"/>
      <c r="PPF499" s="97"/>
      <c r="PPG499" s="97"/>
      <c r="PPH499" s="97"/>
      <c r="PPI499" s="97"/>
      <c r="PPJ499" s="97"/>
      <c r="PPK499" s="97"/>
      <c r="PPL499" s="97"/>
      <c r="PPN499" s="94"/>
      <c r="PPO499" s="94"/>
      <c r="PPP499" s="95"/>
      <c r="PPQ499" s="96"/>
      <c r="PPR499" s="97"/>
      <c r="PPS499" s="97"/>
      <c r="PPT499" s="97"/>
      <c r="PPU499" s="97"/>
      <c r="PPV499" s="97"/>
      <c r="PPW499" s="97"/>
      <c r="PPX499" s="97"/>
      <c r="PPY499" s="97"/>
      <c r="PQA499" s="94"/>
      <c r="PQB499" s="94"/>
      <c r="PQC499" s="95"/>
      <c r="PQD499" s="96"/>
      <c r="PQE499" s="97"/>
      <c r="PQF499" s="97"/>
      <c r="PQG499" s="97"/>
      <c r="PQH499" s="97"/>
      <c r="PQI499" s="97"/>
      <c r="PQJ499" s="97"/>
      <c r="PQK499" s="97"/>
      <c r="PQL499" s="97"/>
      <c r="PQN499" s="94"/>
      <c r="PQO499" s="94"/>
      <c r="PQP499" s="95"/>
      <c r="PQQ499" s="96"/>
      <c r="PQR499" s="97"/>
      <c r="PQS499" s="97"/>
      <c r="PQT499" s="97"/>
      <c r="PQU499" s="97"/>
      <c r="PQV499" s="97"/>
      <c r="PQW499" s="97"/>
      <c r="PQX499" s="97"/>
      <c r="PQY499" s="97"/>
      <c r="PRA499" s="94"/>
      <c r="PRB499" s="94"/>
      <c r="PRC499" s="95"/>
      <c r="PRD499" s="96"/>
      <c r="PRE499" s="97"/>
      <c r="PRF499" s="97"/>
      <c r="PRG499" s="97"/>
      <c r="PRH499" s="97"/>
      <c r="PRI499" s="97"/>
      <c r="PRJ499" s="97"/>
      <c r="PRK499" s="97"/>
      <c r="PRL499" s="97"/>
      <c r="PRN499" s="94"/>
      <c r="PRO499" s="94"/>
      <c r="PRP499" s="95"/>
      <c r="PRQ499" s="96"/>
      <c r="PRR499" s="97"/>
      <c r="PRS499" s="97"/>
      <c r="PRT499" s="97"/>
      <c r="PRU499" s="97"/>
      <c r="PRV499" s="97"/>
      <c r="PRW499" s="97"/>
      <c r="PRX499" s="97"/>
      <c r="PRY499" s="97"/>
      <c r="PSA499" s="94"/>
      <c r="PSB499" s="94"/>
      <c r="PSC499" s="95"/>
      <c r="PSD499" s="96"/>
      <c r="PSE499" s="97"/>
      <c r="PSF499" s="97"/>
      <c r="PSG499" s="97"/>
      <c r="PSH499" s="97"/>
      <c r="PSI499" s="97"/>
      <c r="PSJ499" s="97"/>
      <c r="PSK499" s="97"/>
      <c r="PSL499" s="97"/>
      <c r="PSN499" s="94"/>
      <c r="PSO499" s="94"/>
      <c r="PSP499" s="95"/>
      <c r="PSQ499" s="96"/>
      <c r="PSR499" s="97"/>
      <c r="PSS499" s="97"/>
      <c r="PST499" s="97"/>
      <c r="PSU499" s="97"/>
      <c r="PSV499" s="97"/>
      <c r="PSW499" s="97"/>
      <c r="PSX499" s="97"/>
      <c r="PSY499" s="97"/>
      <c r="PTA499" s="94"/>
      <c r="PTB499" s="94"/>
      <c r="PTC499" s="95"/>
      <c r="PTD499" s="96"/>
      <c r="PTE499" s="97"/>
      <c r="PTF499" s="97"/>
      <c r="PTG499" s="97"/>
      <c r="PTH499" s="97"/>
      <c r="PTI499" s="97"/>
      <c r="PTJ499" s="97"/>
      <c r="PTK499" s="97"/>
      <c r="PTL499" s="97"/>
      <c r="PTN499" s="94"/>
      <c r="PTO499" s="94"/>
      <c r="PTP499" s="95"/>
      <c r="PTQ499" s="96"/>
      <c r="PTR499" s="97"/>
      <c r="PTS499" s="97"/>
      <c r="PTT499" s="97"/>
      <c r="PTU499" s="97"/>
      <c r="PTV499" s="97"/>
      <c r="PTW499" s="97"/>
      <c r="PTX499" s="97"/>
      <c r="PTY499" s="97"/>
      <c r="PUA499" s="94"/>
      <c r="PUB499" s="94"/>
      <c r="PUC499" s="95"/>
      <c r="PUD499" s="96"/>
      <c r="PUE499" s="97"/>
      <c r="PUF499" s="97"/>
      <c r="PUG499" s="97"/>
      <c r="PUH499" s="97"/>
      <c r="PUI499" s="97"/>
      <c r="PUJ499" s="97"/>
      <c r="PUK499" s="97"/>
      <c r="PUL499" s="97"/>
      <c r="PUN499" s="94"/>
      <c r="PUO499" s="94"/>
      <c r="PUP499" s="95"/>
      <c r="PUQ499" s="96"/>
      <c r="PUR499" s="97"/>
      <c r="PUS499" s="97"/>
      <c r="PUT499" s="97"/>
      <c r="PUU499" s="97"/>
      <c r="PUV499" s="97"/>
      <c r="PUW499" s="97"/>
      <c r="PUX499" s="97"/>
      <c r="PUY499" s="97"/>
      <c r="PVA499" s="94"/>
      <c r="PVB499" s="94"/>
      <c r="PVC499" s="95"/>
      <c r="PVD499" s="96"/>
      <c r="PVE499" s="97"/>
      <c r="PVF499" s="97"/>
      <c r="PVG499" s="97"/>
      <c r="PVH499" s="97"/>
      <c r="PVI499" s="97"/>
      <c r="PVJ499" s="97"/>
      <c r="PVK499" s="97"/>
      <c r="PVL499" s="97"/>
      <c r="PVN499" s="94"/>
      <c r="PVO499" s="94"/>
      <c r="PVP499" s="95"/>
      <c r="PVQ499" s="96"/>
      <c r="PVR499" s="97"/>
      <c r="PVS499" s="97"/>
      <c r="PVT499" s="97"/>
      <c r="PVU499" s="97"/>
      <c r="PVV499" s="97"/>
      <c r="PVW499" s="97"/>
      <c r="PVX499" s="97"/>
      <c r="PVY499" s="97"/>
      <c r="PWA499" s="94"/>
      <c r="PWB499" s="94"/>
      <c r="PWC499" s="95"/>
      <c r="PWD499" s="96"/>
      <c r="PWE499" s="97"/>
      <c r="PWF499" s="97"/>
      <c r="PWG499" s="97"/>
      <c r="PWH499" s="97"/>
      <c r="PWI499" s="97"/>
      <c r="PWJ499" s="97"/>
      <c r="PWK499" s="97"/>
      <c r="PWL499" s="97"/>
      <c r="PWN499" s="94"/>
      <c r="PWO499" s="94"/>
      <c r="PWP499" s="95"/>
      <c r="PWQ499" s="96"/>
      <c r="PWR499" s="97"/>
      <c r="PWS499" s="97"/>
      <c r="PWT499" s="97"/>
      <c r="PWU499" s="97"/>
      <c r="PWV499" s="97"/>
      <c r="PWW499" s="97"/>
      <c r="PWX499" s="97"/>
      <c r="PWY499" s="97"/>
      <c r="PXA499" s="94"/>
      <c r="PXB499" s="94"/>
      <c r="PXC499" s="95"/>
      <c r="PXD499" s="96"/>
      <c r="PXE499" s="97"/>
      <c r="PXF499" s="97"/>
      <c r="PXG499" s="97"/>
      <c r="PXH499" s="97"/>
      <c r="PXI499" s="97"/>
      <c r="PXJ499" s="97"/>
      <c r="PXK499" s="97"/>
      <c r="PXL499" s="97"/>
      <c r="PXN499" s="94"/>
      <c r="PXO499" s="94"/>
      <c r="PXP499" s="95"/>
      <c r="PXQ499" s="96"/>
      <c r="PXR499" s="97"/>
      <c r="PXS499" s="97"/>
      <c r="PXT499" s="97"/>
      <c r="PXU499" s="97"/>
      <c r="PXV499" s="97"/>
      <c r="PXW499" s="97"/>
      <c r="PXX499" s="97"/>
      <c r="PXY499" s="97"/>
      <c r="PYA499" s="94"/>
      <c r="PYB499" s="94"/>
      <c r="PYC499" s="95"/>
      <c r="PYD499" s="96"/>
      <c r="PYE499" s="97"/>
      <c r="PYF499" s="97"/>
      <c r="PYG499" s="97"/>
      <c r="PYH499" s="97"/>
      <c r="PYI499" s="97"/>
      <c r="PYJ499" s="97"/>
      <c r="PYK499" s="97"/>
      <c r="PYL499" s="97"/>
      <c r="PYN499" s="94"/>
      <c r="PYO499" s="94"/>
      <c r="PYP499" s="95"/>
      <c r="PYQ499" s="96"/>
      <c r="PYR499" s="97"/>
      <c r="PYS499" s="97"/>
      <c r="PYT499" s="97"/>
      <c r="PYU499" s="97"/>
      <c r="PYV499" s="97"/>
      <c r="PYW499" s="97"/>
      <c r="PYX499" s="97"/>
      <c r="PYY499" s="97"/>
      <c r="PZA499" s="94"/>
      <c r="PZB499" s="94"/>
      <c r="PZC499" s="95"/>
      <c r="PZD499" s="96"/>
      <c r="PZE499" s="97"/>
      <c r="PZF499" s="97"/>
      <c r="PZG499" s="97"/>
      <c r="PZH499" s="97"/>
      <c r="PZI499" s="97"/>
      <c r="PZJ499" s="97"/>
      <c r="PZK499" s="97"/>
      <c r="PZL499" s="97"/>
      <c r="PZN499" s="94"/>
      <c r="PZO499" s="94"/>
      <c r="PZP499" s="95"/>
      <c r="PZQ499" s="96"/>
      <c r="PZR499" s="97"/>
      <c r="PZS499" s="97"/>
      <c r="PZT499" s="97"/>
      <c r="PZU499" s="97"/>
      <c r="PZV499" s="97"/>
      <c r="PZW499" s="97"/>
      <c r="PZX499" s="97"/>
      <c r="PZY499" s="97"/>
      <c r="QAA499" s="94"/>
      <c r="QAB499" s="94"/>
      <c r="QAC499" s="95"/>
      <c r="QAD499" s="96"/>
      <c r="QAE499" s="97"/>
      <c r="QAF499" s="97"/>
      <c r="QAG499" s="97"/>
      <c r="QAH499" s="97"/>
      <c r="QAI499" s="97"/>
      <c r="QAJ499" s="97"/>
      <c r="QAK499" s="97"/>
      <c r="QAL499" s="97"/>
      <c r="QAN499" s="94"/>
      <c r="QAO499" s="94"/>
      <c r="QAP499" s="95"/>
      <c r="QAQ499" s="96"/>
      <c r="QAR499" s="97"/>
      <c r="QAS499" s="97"/>
      <c r="QAT499" s="97"/>
      <c r="QAU499" s="97"/>
      <c r="QAV499" s="97"/>
      <c r="QAW499" s="97"/>
      <c r="QAX499" s="97"/>
      <c r="QAY499" s="97"/>
      <c r="QBA499" s="94"/>
      <c r="QBB499" s="94"/>
      <c r="QBC499" s="95"/>
      <c r="QBD499" s="96"/>
      <c r="QBE499" s="97"/>
      <c r="QBF499" s="97"/>
      <c r="QBG499" s="97"/>
      <c r="QBH499" s="97"/>
      <c r="QBI499" s="97"/>
      <c r="QBJ499" s="97"/>
      <c r="QBK499" s="97"/>
      <c r="QBL499" s="97"/>
      <c r="QBN499" s="94"/>
      <c r="QBO499" s="94"/>
      <c r="QBP499" s="95"/>
      <c r="QBQ499" s="96"/>
      <c r="QBR499" s="97"/>
      <c r="QBS499" s="97"/>
      <c r="QBT499" s="97"/>
      <c r="QBU499" s="97"/>
      <c r="QBV499" s="97"/>
      <c r="QBW499" s="97"/>
      <c r="QBX499" s="97"/>
      <c r="QBY499" s="97"/>
      <c r="QCA499" s="94"/>
      <c r="QCB499" s="94"/>
      <c r="QCC499" s="95"/>
      <c r="QCD499" s="96"/>
      <c r="QCE499" s="97"/>
      <c r="QCF499" s="97"/>
      <c r="QCG499" s="97"/>
      <c r="QCH499" s="97"/>
      <c r="QCI499" s="97"/>
      <c r="QCJ499" s="97"/>
      <c r="QCK499" s="97"/>
      <c r="QCL499" s="97"/>
      <c r="QCN499" s="94"/>
      <c r="QCO499" s="94"/>
      <c r="QCP499" s="95"/>
      <c r="QCQ499" s="96"/>
      <c r="QCR499" s="97"/>
      <c r="QCS499" s="97"/>
      <c r="QCT499" s="97"/>
      <c r="QCU499" s="97"/>
      <c r="QCV499" s="97"/>
      <c r="QCW499" s="97"/>
      <c r="QCX499" s="97"/>
      <c r="QCY499" s="97"/>
      <c r="QDA499" s="94"/>
      <c r="QDB499" s="94"/>
      <c r="QDC499" s="95"/>
      <c r="QDD499" s="96"/>
      <c r="QDE499" s="97"/>
      <c r="QDF499" s="97"/>
      <c r="QDG499" s="97"/>
      <c r="QDH499" s="97"/>
      <c r="QDI499" s="97"/>
      <c r="QDJ499" s="97"/>
      <c r="QDK499" s="97"/>
      <c r="QDL499" s="97"/>
      <c r="QDN499" s="94"/>
      <c r="QDO499" s="94"/>
      <c r="QDP499" s="95"/>
      <c r="QDQ499" s="96"/>
      <c r="QDR499" s="97"/>
      <c r="QDS499" s="97"/>
      <c r="QDT499" s="97"/>
      <c r="QDU499" s="97"/>
      <c r="QDV499" s="97"/>
      <c r="QDW499" s="97"/>
      <c r="QDX499" s="97"/>
      <c r="QDY499" s="97"/>
      <c r="QEA499" s="94"/>
      <c r="QEB499" s="94"/>
      <c r="QEC499" s="95"/>
      <c r="QED499" s="96"/>
      <c r="QEE499" s="97"/>
      <c r="QEF499" s="97"/>
      <c r="QEG499" s="97"/>
      <c r="QEH499" s="97"/>
      <c r="QEI499" s="97"/>
      <c r="QEJ499" s="97"/>
      <c r="QEK499" s="97"/>
      <c r="QEL499" s="97"/>
      <c r="QEN499" s="94"/>
      <c r="QEO499" s="94"/>
      <c r="QEP499" s="95"/>
      <c r="QEQ499" s="96"/>
      <c r="QER499" s="97"/>
      <c r="QES499" s="97"/>
      <c r="QET499" s="97"/>
      <c r="QEU499" s="97"/>
      <c r="QEV499" s="97"/>
      <c r="QEW499" s="97"/>
      <c r="QEX499" s="97"/>
      <c r="QEY499" s="97"/>
      <c r="QFA499" s="94"/>
      <c r="QFB499" s="94"/>
      <c r="QFC499" s="95"/>
      <c r="QFD499" s="96"/>
      <c r="QFE499" s="97"/>
      <c r="QFF499" s="97"/>
      <c r="QFG499" s="97"/>
      <c r="QFH499" s="97"/>
      <c r="QFI499" s="97"/>
      <c r="QFJ499" s="97"/>
      <c r="QFK499" s="97"/>
      <c r="QFL499" s="97"/>
      <c r="QFN499" s="94"/>
      <c r="QFO499" s="94"/>
      <c r="QFP499" s="95"/>
      <c r="QFQ499" s="96"/>
      <c r="QFR499" s="97"/>
      <c r="QFS499" s="97"/>
      <c r="QFT499" s="97"/>
      <c r="QFU499" s="97"/>
      <c r="QFV499" s="97"/>
      <c r="QFW499" s="97"/>
      <c r="QFX499" s="97"/>
      <c r="QFY499" s="97"/>
      <c r="QGA499" s="94"/>
      <c r="QGB499" s="94"/>
      <c r="QGC499" s="95"/>
      <c r="QGD499" s="96"/>
      <c r="QGE499" s="97"/>
      <c r="QGF499" s="97"/>
      <c r="QGG499" s="97"/>
      <c r="QGH499" s="97"/>
      <c r="QGI499" s="97"/>
      <c r="QGJ499" s="97"/>
      <c r="QGK499" s="97"/>
      <c r="QGL499" s="97"/>
      <c r="QGN499" s="94"/>
      <c r="QGO499" s="94"/>
      <c r="QGP499" s="95"/>
      <c r="QGQ499" s="96"/>
      <c r="QGR499" s="97"/>
      <c r="QGS499" s="97"/>
      <c r="QGT499" s="97"/>
      <c r="QGU499" s="97"/>
      <c r="QGV499" s="97"/>
      <c r="QGW499" s="97"/>
      <c r="QGX499" s="97"/>
      <c r="QGY499" s="97"/>
      <c r="QHA499" s="94"/>
      <c r="QHB499" s="94"/>
      <c r="QHC499" s="95"/>
      <c r="QHD499" s="96"/>
      <c r="QHE499" s="97"/>
      <c r="QHF499" s="97"/>
      <c r="QHG499" s="97"/>
      <c r="QHH499" s="97"/>
      <c r="QHI499" s="97"/>
      <c r="QHJ499" s="97"/>
      <c r="QHK499" s="97"/>
      <c r="QHL499" s="97"/>
      <c r="QHN499" s="94"/>
      <c r="QHO499" s="94"/>
      <c r="QHP499" s="95"/>
      <c r="QHQ499" s="96"/>
      <c r="QHR499" s="97"/>
      <c r="QHS499" s="97"/>
      <c r="QHT499" s="97"/>
      <c r="QHU499" s="97"/>
      <c r="QHV499" s="97"/>
      <c r="QHW499" s="97"/>
      <c r="QHX499" s="97"/>
      <c r="QHY499" s="97"/>
      <c r="QIA499" s="94"/>
      <c r="QIB499" s="94"/>
      <c r="QIC499" s="95"/>
      <c r="QID499" s="96"/>
      <c r="QIE499" s="97"/>
      <c r="QIF499" s="97"/>
      <c r="QIG499" s="97"/>
      <c r="QIH499" s="97"/>
      <c r="QII499" s="97"/>
      <c r="QIJ499" s="97"/>
      <c r="QIK499" s="97"/>
      <c r="QIL499" s="97"/>
      <c r="QIN499" s="94"/>
      <c r="QIO499" s="94"/>
      <c r="QIP499" s="95"/>
      <c r="QIQ499" s="96"/>
      <c r="QIR499" s="97"/>
      <c r="QIS499" s="97"/>
      <c r="QIT499" s="97"/>
      <c r="QIU499" s="97"/>
      <c r="QIV499" s="97"/>
      <c r="QIW499" s="97"/>
      <c r="QIX499" s="97"/>
      <c r="QIY499" s="97"/>
      <c r="QJA499" s="94"/>
      <c r="QJB499" s="94"/>
      <c r="QJC499" s="95"/>
      <c r="QJD499" s="96"/>
      <c r="QJE499" s="97"/>
      <c r="QJF499" s="97"/>
      <c r="QJG499" s="97"/>
      <c r="QJH499" s="97"/>
      <c r="QJI499" s="97"/>
      <c r="QJJ499" s="97"/>
      <c r="QJK499" s="97"/>
      <c r="QJL499" s="97"/>
      <c r="QJN499" s="94"/>
      <c r="QJO499" s="94"/>
      <c r="QJP499" s="95"/>
      <c r="QJQ499" s="96"/>
      <c r="QJR499" s="97"/>
      <c r="QJS499" s="97"/>
      <c r="QJT499" s="97"/>
      <c r="QJU499" s="97"/>
      <c r="QJV499" s="97"/>
      <c r="QJW499" s="97"/>
      <c r="QJX499" s="97"/>
      <c r="QJY499" s="97"/>
      <c r="QKA499" s="94"/>
      <c r="QKB499" s="94"/>
      <c r="QKC499" s="95"/>
      <c r="QKD499" s="96"/>
      <c r="QKE499" s="97"/>
      <c r="QKF499" s="97"/>
      <c r="QKG499" s="97"/>
      <c r="QKH499" s="97"/>
      <c r="QKI499" s="97"/>
      <c r="QKJ499" s="97"/>
      <c r="QKK499" s="97"/>
      <c r="QKL499" s="97"/>
      <c r="QKN499" s="94"/>
      <c r="QKO499" s="94"/>
      <c r="QKP499" s="95"/>
      <c r="QKQ499" s="96"/>
      <c r="QKR499" s="97"/>
      <c r="QKS499" s="97"/>
      <c r="QKT499" s="97"/>
      <c r="QKU499" s="97"/>
      <c r="QKV499" s="97"/>
      <c r="QKW499" s="97"/>
      <c r="QKX499" s="97"/>
      <c r="QKY499" s="97"/>
      <c r="QLA499" s="94"/>
      <c r="QLB499" s="94"/>
      <c r="QLC499" s="95"/>
      <c r="QLD499" s="96"/>
      <c r="QLE499" s="97"/>
      <c r="QLF499" s="97"/>
      <c r="QLG499" s="97"/>
      <c r="QLH499" s="97"/>
      <c r="QLI499" s="97"/>
      <c r="QLJ499" s="97"/>
      <c r="QLK499" s="97"/>
      <c r="QLL499" s="97"/>
      <c r="QLN499" s="94"/>
      <c r="QLO499" s="94"/>
      <c r="QLP499" s="95"/>
      <c r="QLQ499" s="96"/>
      <c r="QLR499" s="97"/>
      <c r="QLS499" s="97"/>
      <c r="QLT499" s="97"/>
      <c r="QLU499" s="97"/>
      <c r="QLV499" s="97"/>
      <c r="QLW499" s="97"/>
      <c r="QLX499" s="97"/>
      <c r="QLY499" s="97"/>
      <c r="QMA499" s="94"/>
      <c r="QMB499" s="94"/>
      <c r="QMC499" s="95"/>
      <c r="QMD499" s="96"/>
      <c r="QME499" s="97"/>
      <c r="QMF499" s="97"/>
      <c r="QMG499" s="97"/>
      <c r="QMH499" s="97"/>
      <c r="QMI499" s="97"/>
      <c r="QMJ499" s="97"/>
      <c r="QMK499" s="97"/>
      <c r="QML499" s="97"/>
      <c r="QMN499" s="94"/>
      <c r="QMO499" s="94"/>
      <c r="QMP499" s="95"/>
      <c r="QMQ499" s="96"/>
      <c r="QMR499" s="97"/>
      <c r="QMS499" s="97"/>
      <c r="QMT499" s="97"/>
      <c r="QMU499" s="97"/>
      <c r="QMV499" s="97"/>
      <c r="QMW499" s="97"/>
      <c r="QMX499" s="97"/>
      <c r="QMY499" s="97"/>
      <c r="QNA499" s="94"/>
      <c r="QNB499" s="94"/>
      <c r="QNC499" s="95"/>
      <c r="QND499" s="96"/>
      <c r="QNE499" s="97"/>
      <c r="QNF499" s="97"/>
      <c r="QNG499" s="97"/>
      <c r="QNH499" s="97"/>
      <c r="QNI499" s="97"/>
      <c r="QNJ499" s="97"/>
      <c r="QNK499" s="97"/>
      <c r="QNL499" s="97"/>
      <c r="QNN499" s="94"/>
      <c r="QNO499" s="94"/>
      <c r="QNP499" s="95"/>
      <c r="QNQ499" s="96"/>
      <c r="QNR499" s="97"/>
      <c r="QNS499" s="97"/>
      <c r="QNT499" s="97"/>
      <c r="QNU499" s="97"/>
      <c r="QNV499" s="97"/>
      <c r="QNW499" s="97"/>
      <c r="QNX499" s="97"/>
      <c r="QNY499" s="97"/>
      <c r="QOA499" s="94"/>
      <c r="QOB499" s="94"/>
      <c r="QOC499" s="95"/>
      <c r="QOD499" s="96"/>
      <c r="QOE499" s="97"/>
      <c r="QOF499" s="97"/>
      <c r="QOG499" s="97"/>
      <c r="QOH499" s="97"/>
      <c r="QOI499" s="97"/>
      <c r="QOJ499" s="97"/>
      <c r="QOK499" s="97"/>
      <c r="QOL499" s="97"/>
      <c r="QON499" s="94"/>
      <c r="QOO499" s="94"/>
      <c r="QOP499" s="95"/>
      <c r="QOQ499" s="96"/>
      <c r="QOR499" s="97"/>
      <c r="QOS499" s="97"/>
      <c r="QOT499" s="97"/>
      <c r="QOU499" s="97"/>
      <c r="QOV499" s="97"/>
      <c r="QOW499" s="97"/>
      <c r="QOX499" s="97"/>
      <c r="QOY499" s="97"/>
      <c r="QPA499" s="94"/>
      <c r="QPB499" s="94"/>
      <c r="QPC499" s="95"/>
      <c r="QPD499" s="96"/>
      <c r="QPE499" s="97"/>
      <c r="QPF499" s="97"/>
      <c r="QPG499" s="97"/>
      <c r="QPH499" s="97"/>
      <c r="QPI499" s="97"/>
      <c r="QPJ499" s="97"/>
      <c r="QPK499" s="97"/>
      <c r="QPL499" s="97"/>
      <c r="QPN499" s="94"/>
      <c r="QPO499" s="94"/>
      <c r="QPP499" s="95"/>
      <c r="QPQ499" s="96"/>
      <c r="QPR499" s="97"/>
      <c r="QPS499" s="97"/>
      <c r="QPT499" s="97"/>
      <c r="QPU499" s="97"/>
      <c r="QPV499" s="97"/>
      <c r="QPW499" s="97"/>
      <c r="QPX499" s="97"/>
      <c r="QPY499" s="97"/>
      <c r="QQA499" s="94"/>
      <c r="QQB499" s="94"/>
      <c r="QQC499" s="95"/>
      <c r="QQD499" s="96"/>
      <c r="QQE499" s="97"/>
      <c r="QQF499" s="97"/>
      <c r="QQG499" s="97"/>
      <c r="QQH499" s="97"/>
      <c r="QQI499" s="97"/>
      <c r="QQJ499" s="97"/>
      <c r="QQK499" s="97"/>
      <c r="QQL499" s="97"/>
      <c r="QQN499" s="94"/>
      <c r="QQO499" s="94"/>
      <c r="QQP499" s="95"/>
      <c r="QQQ499" s="96"/>
      <c r="QQR499" s="97"/>
      <c r="QQS499" s="97"/>
      <c r="QQT499" s="97"/>
      <c r="QQU499" s="97"/>
      <c r="QQV499" s="97"/>
      <c r="QQW499" s="97"/>
      <c r="QQX499" s="97"/>
      <c r="QQY499" s="97"/>
      <c r="QRA499" s="94"/>
      <c r="QRB499" s="94"/>
      <c r="QRC499" s="95"/>
      <c r="QRD499" s="96"/>
      <c r="QRE499" s="97"/>
      <c r="QRF499" s="97"/>
      <c r="QRG499" s="97"/>
      <c r="QRH499" s="97"/>
      <c r="QRI499" s="97"/>
      <c r="QRJ499" s="97"/>
      <c r="QRK499" s="97"/>
      <c r="QRL499" s="97"/>
      <c r="QRN499" s="94"/>
      <c r="QRO499" s="94"/>
      <c r="QRP499" s="95"/>
      <c r="QRQ499" s="96"/>
      <c r="QRR499" s="97"/>
      <c r="QRS499" s="97"/>
      <c r="QRT499" s="97"/>
      <c r="QRU499" s="97"/>
      <c r="QRV499" s="97"/>
      <c r="QRW499" s="97"/>
      <c r="QRX499" s="97"/>
      <c r="QRY499" s="97"/>
      <c r="QSA499" s="94"/>
      <c r="QSB499" s="94"/>
      <c r="QSC499" s="95"/>
      <c r="QSD499" s="96"/>
      <c r="QSE499" s="97"/>
      <c r="QSF499" s="97"/>
      <c r="QSG499" s="97"/>
      <c r="QSH499" s="97"/>
      <c r="QSI499" s="97"/>
      <c r="QSJ499" s="97"/>
      <c r="QSK499" s="97"/>
      <c r="QSL499" s="97"/>
      <c r="QSN499" s="94"/>
      <c r="QSO499" s="94"/>
      <c r="QSP499" s="95"/>
      <c r="QSQ499" s="96"/>
      <c r="QSR499" s="97"/>
      <c r="QSS499" s="97"/>
      <c r="QST499" s="97"/>
      <c r="QSU499" s="97"/>
      <c r="QSV499" s="97"/>
      <c r="QSW499" s="97"/>
      <c r="QSX499" s="97"/>
      <c r="QSY499" s="97"/>
      <c r="QTA499" s="94"/>
      <c r="QTB499" s="94"/>
      <c r="QTC499" s="95"/>
      <c r="QTD499" s="96"/>
      <c r="QTE499" s="97"/>
      <c r="QTF499" s="97"/>
      <c r="QTG499" s="97"/>
      <c r="QTH499" s="97"/>
      <c r="QTI499" s="97"/>
      <c r="QTJ499" s="97"/>
      <c r="QTK499" s="97"/>
      <c r="QTL499" s="97"/>
      <c r="QTN499" s="94"/>
      <c r="QTO499" s="94"/>
      <c r="QTP499" s="95"/>
      <c r="QTQ499" s="96"/>
      <c r="QTR499" s="97"/>
      <c r="QTS499" s="97"/>
      <c r="QTT499" s="97"/>
      <c r="QTU499" s="97"/>
      <c r="QTV499" s="97"/>
      <c r="QTW499" s="97"/>
      <c r="QTX499" s="97"/>
      <c r="QTY499" s="97"/>
      <c r="QUA499" s="94"/>
      <c r="QUB499" s="94"/>
      <c r="QUC499" s="95"/>
      <c r="QUD499" s="96"/>
      <c r="QUE499" s="97"/>
      <c r="QUF499" s="97"/>
      <c r="QUG499" s="97"/>
      <c r="QUH499" s="97"/>
      <c r="QUI499" s="97"/>
      <c r="QUJ499" s="97"/>
      <c r="QUK499" s="97"/>
      <c r="QUL499" s="97"/>
      <c r="QUN499" s="94"/>
      <c r="QUO499" s="94"/>
      <c r="QUP499" s="95"/>
      <c r="QUQ499" s="96"/>
      <c r="QUR499" s="97"/>
      <c r="QUS499" s="97"/>
      <c r="QUT499" s="97"/>
      <c r="QUU499" s="97"/>
      <c r="QUV499" s="97"/>
      <c r="QUW499" s="97"/>
      <c r="QUX499" s="97"/>
      <c r="QUY499" s="97"/>
      <c r="QVA499" s="94"/>
      <c r="QVB499" s="94"/>
      <c r="QVC499" s="95"/>
      <c r="QVD499" s="96"/>
      <c r="QVE499" s="97"/>
      <c r="QVF499" s="97"/>
      <c r="QVG499" s="97"/>
      <c r="QVH499" s="97"/>
      <c r="QVI499" s="97"/>
      <c r="QVJ499" s="97"/>
      <c r="QVK499" s="97"/>
      <c r="QVL499" s="97"/>
      <c r="QVN499" s="94"/>
      <c r="QVO499" s="94"/>
      <c r="QVP499" s="95"/>
      <c r="QVQ499" s="96"/>
      <c r="QVR499" s="97"/>
      <c r="QVS499" s="97"/>
      <c r="QVT499" s="97"/>
      <c r="QVU499" s="97"/>
      <c r="QVV499" s="97"/>
      <c r="QVW499" s="97"/>
      <c r="QVX499" s="97"/>
      <c r="QVY499" s="97"/>
      <c r="QWA499" s="94"/>
      <c r="QWB499" s="94"/>
      <c r="QWC499" s="95"/>
      <c r="QWD499" s="96"/>
      <c r="QWE499" s="97"/>
      <c r="QWF499" s="97"/>
      <c r="QWG499" s="97"/>
      <c r="QWH499" s="97"/>
      <c r="QWI499" s="97"/>
      <c r="QWJ499" s="97"/>
      <c r="QWK499" s="97"/>
      <c r="QWL499" s="97"/>
      <c r="QWN499" s="94"/>
      <c r="QWO499" s="94"/>
      <c r="QWP499" s="95"/>
      <c r="QWQ499" s="96"/>
      <c r="QWR499" s="97"/>
      <c r="QWS499" s="97"/>
      <c r="QWT499" s="97"/>
      <c r="QWU499" s="97"/>
      <c r="QWV499" s="97"/>
      <c r="QWW499" s="97"/>
      <c r="QWX499" s="97"/>
      <c r="QWY499" s="97"/>
      <c r="QXA499" s="94"/>
      <c r="QXB499" s="94"/>
      <c r="QXC499" s="95"/>
      <c r="QXD499" s="96"/>
      <c r="QXE499" s="97"/>
      <c r="QXF499" s="97"/>
      <c r="QXG499" s="97"/>
      <c r="QXH499" s="97"/>
      <c r="QXI499" s="97"/>
      <c r="QXJ499" s="97"/>
      <c r="QXK499" s="97"/>
      <c r="QXL499" s="97"/>
      <c r="QXN499" s="94"/>
      <c r="QXO499" s="94"/>
      <c r="QXP499" s="95"/>
      <c r="QXQ499" s="96"/>
      <c r="QXR499" s="97"/>
      <c r="QXS499" s="97"/>
      <c r="QXT499" s="97"/>
      <c r="QXU499" s="97"/>
      <c r="QXV499" s="97"/>
      <c r="QXW499" s="97"/>
      <c r="QXX499" s="97"/>
      <c r="QXY499" s="97"/>
      <c r="QYA499" s="94"/>
      <c r="QYB499" s="94"/>
      <c r="QYC499" s="95"/>
      <c r="QYD499" s="96"/>
      <c r="QYE499" s="97"/>
      <c r="QYF499" s="97"/>
      <c r="QYG499" s="97"/>
      <c r="QYH499" s="97"/>
      <c r="QYI499" s="97"/>
      <c r="QYJ499" s="97"/>
      <c r="QYK499" s="97"/>
      <c r="QYL499" s="97"/>
      <c r="QYN499" s="94"/>
      <c r="QYO499" s="94"/>
      <c r="QYP499" s="95"/>
      <c r="QYQ499" s="96"/>
      <c r="QYR499" s="97"/>
      <c r="QYS499" s="97"/>
      <c r="QYT499" s="97"/>
      <c r="QYU499" s="97"/>
      <c r="QYV499" s="97"/>
      <c r="QYW499" s="97"/>
      <c r="QYX499" s="97"/>
      <c r="QYY499" s="97"/>
      <c r="QZA499" s="94"/>
      <c r="QZB499" s="94"/>
      <c r="QZC499" s="95"/>
      <c r="QZD499" s="96"/>
      <c r="QZE499" s="97"/>
      <c r="QZF499" s="97"/>
      <c r="QZG499" s="97"/>
      <c r="QZH499" s="97"/>
      <c r="QZI499" s="97"/>
      <c r="QZJ499" s="97"/>
      <c r="QZK499" s="97"/>
      <c r="QZL499" s="97"/>
      <c r="QZN499" s="94"/>
      <c r="QZO499" s="94"/>
      <c r="QZP499" s="95"/>
      <c r="QZQ499" s="96"/>
      <c r="QZR499" s="97"/>
      <c r="QZS499" s="97"/>
      <c r="QZT499" s="97"/>
      <c r="QZU499" s="97"/>
      <c r="QZV499" s="97"/>
      <c r="QZW499" s="97"/>
      <c r="QZX499" s="97"/>
      <c r="QZY499" s="97"/>
      <c r="RAA499" s="94"/>
      <c r="RAB499" s="94"/>
      <c r="RAC499" s="95"/>
      <c r="RAD499" s="96"/>
      <c r="RAE499" s="97"/>
      <c r="RAF499" s="97"/>
      <c r="RAG499" s="97"/>
      <c r="RAH499" s="97"/>
      <c r="RAI499" s="97"/>
      <c r="RAJ499" s="97"/>
      <c r="RAK499" s="97"/>
      <c r="RAL499" s="97"/>
      <c r="RAN499" s="94"/>
      <c r="RAO499" s="94"/>
      <c r="RAP499" s="95"/>
      <c r="RAQ499" s="96"/>
      <c r="RAR499" s="97"/>
      <c r="RAS499" s="97"/>
      <c r="RAT499" s="97"/>
      <c r="RAU499" s="97"/>
      <c r="RAV499" s="97"/>
      <c r="RAW499" s="97"/>
      <c r="RAX499" s="97"/>
      <c r="RAY499" s="97"/>
      <c r="RBA499" s="94"/>
      <c r="RBB499" s="94"/>
      <c r="RBC499" s="95"/>
      <c r="RBD499" s="96"/>
      <c r="RBE499" s="97"/>
      <c r="RBF499" s="97"/>
      <c r="RBG499" s="97"/>
      <c r="RBH499" s="97"/>
      <c r="RBI499" s="97"/>
      <c r="RBJ499" s="97"/>
      <c r="RBK499" s="97"/>
      <c r="RBL499" s="97"/>
      <c r="RBN499" s="94"/>
      <c r="RBO499" s="94"/>
      <c r="RBP499" s="95"/>
      <c r="RBQ499" s="96"/>
      <c r="RBR499" s="97"/>
      <c r="RBS499" s="97"/>
      <c r="RBT499" s="97"/>
      <c r="RBU499" s="97"/>
      <c r="RBV499" s="97"/>
      <c r="RBW499" s="97"/>
      <c r="RBX499" s="97"/>
      <c r="RBY499" s="97"/>
      <c r="RCA499" s="94"/>
      <c r="RCB499" s="94"/>
      <c r="RCC499" s="95"/>
      <c r="RCD499" s="96"/>
      <c r="RCE499" s="97"/>
      <c r="RCF499" s="97"/>
      <c r="RCG499" s="97"/>
      <c r="RCH499" s="97"/>
      <c r="RCI499" s="97"/>
      <c r="RCJ499" s="97"/>
      <c r="RCK499" s="97"/>
      <c r="RCL499" s="97"/>
      <c r="RCN499" s="94"/>
      <c r="RCO499" s="94"/>
      <c r="RCP499" s="95"/>
      <c r="RCQ499" s="96"/>
      <c r="RCR499" s="97"/>
      <c r="RCS499" s="97"/>
      <c r="RCT499" s="97"/>
      <c r="RCU499" s="97"/>
      <c r="RCV499" s="97"/>
      <c r="RCW499" s="97"/>
      <c r="RCX499" s="97"/>
      <c r="RCY499" s="97"/>
      <c r="RDA499" s="94"/>
      <c r="RDB499" s="94"/>
      <c r="RDC499" s="95"/>
      <c r="RDD499" s="96"/>
      <c r="RDE499" s="97"/>
      <c r="RDF499" s="97"/>
      <c r="RDG499" s="97"/>
      <c r="RDH499" s="97"/>
      <c r="RDI499" s="97"/>
      <c r="RDJ499" s="97"/>
      <c r="RDK499" s="97"/>
      <c r="RDL499" s="97"/>
      <c r="RDN499" s="94"/>
      <c r="RDO499" s="94"/>
      <c r="RDP499" s="95"/>
      <c r="RDQ499" s="96"/>
      <c r="RDR499" s="97"/>
      <c r="RDS499" s="97"/>
      <c r="RDT499" s="97"/>
      <c r="RDU499" s="97"/>
      <c r="RDV499" s="97"/>
      <c r="RDW499" s="97"/>
      <c r="RDX499" s="97"/>
      <c r="RDY499" s="97"/>
      <c r="REA499" s="94"/>
      <c r="REB499" s="94"/>
      <c r="REC499" s="95"/>
      <c r="RED499" s="96"/>
      <c r="REE499" s="97"/>
      <c r="REF499" s="97"/>
      <c r="REG499" s="97"/>
      <c r="REH499" s="97"/>
      <c r="REI499" s="97"/>
      <c r="REJ499" s="97"/>
      <c r="REK499" s="97"/>
      <c r="REL499" s="97"/>
      <c r="REN499" s="94"/>
      <c r="REO499" s="94"/>
      <c r="REP499" s="95"/>
      <c r="REQ499" s="96"/>
      <c r="RER499" s="97"/>
      <c r="RES499" s="97"/>
      <c r="RET499" s="97"/>
      <c r="REU499" s="97"/>
      <c r="REV499" s="97"/>
      <c r="REW499" s="97"/>
      <c r="REX499" s="97"/>
      <c r="REY499" s="97"/>
      <c r="RFA499" s="94"/>
      <c r="RFB499" s="94"/>
      <c r="RFC499" s="95"/>
      <c r="RFD499" s="96"/>
      <c r="RFE499" s="97"/>
      <c r="RFF499" s="97"/>
      <c r="RFG499" s="97"/>
      <c r="RFH499" s="97"/>
      <c r="RFI499" s="97"/>
      <c r="RFJ499" s="97"/>
      <c r="RFK499" s="97"/>
      <c r="RFL499" s="97"/>
      <c r="RFN499" s="94"/>
      <c r="RFO499" s="94"/>
      <c r="RFP499" s="95"/>
      <c r="RFQ499" s="96"/>
      <c r="RFR499" s="97"/>
      <c r="RFS499" s="97"/>
      <c r="RFT499" s="97"/>
      <c r="RFU499" s="97"/>
      <c r="RFV499" s="97"/>
      <c r="RFW499" s="97"/>
      <c r="RFX499" s="97"/>
      <c r="RFY499" s="97"/>
      <c r="RGA499" s="94"/>
      <c r="RGB499" s="94"/>
      <c r="RGC499" s="95"/>
      <c r="RGD499" s="96"/>
      <c r="RGE499" s="97"/>
      <c r="RGF499" s="97"/>
      <c r="RGG499" s="97"/>
      <c r="RGH499" s="97"/>
      <c r="RGI499" s="97"/>
      <c r="RGJ499" s="97"/>
      <c r="RGK499" s="97"/>
      <c r="RGL499" s="97"/>
      <c r="RGN499" s="94"/>
      <c r="RGO499" s="94"/>
      <c r="RGP499" s="95"/>
      <c r="RGQ499" s="96"/>
      <c r="RGR499" s="97"/>
      <c r="RGS499" s="97"/>
      <c r="RGT499" s="97"/>
      <c r="RGU499" s="97"/>
      <c r="RGV499" s="97"/>
      <c r="RGW499" s="97"/>
      <c r="RGX499" s="97"/>
      <c r="RGY499" s="97"/>
      <c r="RHA499" s="94"/>
      <c r="RHB499" s="94"/>
      <c r="RHC499" s="95"/>
      <c r="RHD499" s="96"/>
      <c r="RHE499" s="97"/>
      <c r="RHF499" s="97"/>
      <c r="RHG499" s="97"/>
      <c r="RHH499" s="97"/>
      <c r="RHI499" s="97"/>
      <c r="RHJ499" s="97"/>
      <c r="RHK499" s="97"/>
      <c r="RHL499" s="97"/>
      <c r="RHN499" s="94"/>
      <c r="RHO499" s="94"/>
      <c r="RHP499" s="95"/>
      <c r="RHQ499" s="96"/>
      <c r="RHR499" s="97"/>
      <c r="RHS499" s="97"/>
      <c r="RHT499" s="97"/>
      <c r="RHU499" s="97"/>
      <c r="RHV499" s="97"/>
      <c r="RHW499" s="97"/>
      <c r="RHX499" s="97"/>
      <c r="RHY499" s="97"/>
      <c r="RIA499" s="94"/>
      <c r="RIB499" s="94"/>
      <c r="RIC499" s="95"/>
      <c r="RID499" s="96"/>
      <c r="RIE499" s="97"/>
      <c r="RIF499" s="97"/>
      <c r="RIG499" s="97"/>
      <c r="RIH499" s="97"/>
      <c r="RII499" s="97"/>
      <c r="RIJ499" s="97"/>
      <c r="RIK499" s="97"/>
      <c r="RIL499" s="97"/>
      <c r="RIN499" s="94"/>
      <c r="RIO499" s="94"/>
      <c r="RIP499" s="95"/>
      <c r="RIQ499" s="96"/>
      <c r="RIR499" s="97"/>
      <c r="RIS499" s="97"/>
      <c r="RIT499" s="97"/>
      <c r="RIU499" s="97"/>
      <c r="RIV499" s="97"/>
      <c r="RIW499" s="97"/>
      <c r="RIX499" s="97"/>
      <c r="RIY499" s="97"/>
      <c r="RJA499" s="94"/>
      <c r="RJB499" s="94"/>
      <c r="RJC499" s="95"/>
      <c r="RJD499" s="96"/>
      <c r="RJE499" s="97"/>
      <c r="RJF499" s="97"/>
      <c r="RJG499" s="97"/>
      <c r="RJH499" s="97"/>
      <c r="RJI499" s="97"/>
      <c r="RJJ499" s="97"/>
      <c r="RJK499" s="97"/>
      <c r="RJL499" s="97"/>
      <c r="RJN499" s="94"/>
      <c r="RJO499" s="94"/>
      <c r="RJP499" s="95"/>
      <c r="RJQ499" s="96"/>
      <c r="RJR499" s="97"/>
      <c r="RJS499" s="97"/>
      <c r="RJT499" s="97"/>
      <c r="RJU499" s="97"/>
      <c r="RJV499" s="97"/>
      <c r="RJW499" s="97"/>
      <c r="RJX499" s="97"/>
      <c r="RJY499" s="97"/>
      <c r="RKA499" s="94"/>
      <c r="RKB499" s="94"/>
      <c r="RKC499" s="95"/>
      <c r="RKD499" s="96"/>
      <c r="RKE499" s="97"/>
      <c r="RKF499" s="97"/>
      <c r="RKG499" s="97"/>
      <c r="RKH499" s="97"/>
      <c r="RKI499" s="97"/>
      <c r="RKJ499" s="97"/>
      <c r="RKK499" s="97"/>
      <c r="RKL499" s="97"/>
      <c r="RKN499" s="94"/>
      <c r="RKO499" s="94"/>
      <c r="RKP499" s="95"/>
      <c r="RKQ499" s="96"/>
      <c r="RKR499" s="97"/>
      <c r="RKS499" s="97"/>
      <c r="RKT499" s="97"/>
      <c r="RKU499" s="97"/>
      <c r="RKV499" s="97"/>
      <c r="RKW499" s="97"/>
      <c r="RKX499" s="97"/>
      <c r="RKY499" s="97"/>
      <c r="RLA499" s="94"/>
      <c r="RLB499" s="94"/>
      <c r="RLC499" s="95"/>
      <c r="RLD499" s="96"/>
      <c r="RLE499" s="97"/>
      <c r="RLF499" s="97"/>
      <c r="RLG499" s="97"/>
      <c r="RLH499" s="97"/>
      <c r="RLI499" s="97"/>
      <c r="RLJ499" s="97"/>
      <c r="RLK499" s="97"/>
      <c r="RLL499" s="97"/>
      <c r="RLN499" s="94"/>
      <c r="RLO499" s="94"/>
      <c r="RLP499" s="95"/>
      <c r="RLQ499" s="96"/>
      <c r="RLR499" s="97"/>
      <c r="RLS499" s="97"/>
      <c r="RLT499" s="97"/>
      <c r="RLU499" s="97"/>
      <c r="RLV499" s="97"/>
      <c r="RLW499" s="97"/>
      <c r="RLX499" s="97"/>
      <c r="RLY499" s="97"/>
      <c r="RMA499" s="94"/>
      <c r="RMB499" s="94"/>
      <c r="RMC499" s="95"/>
      <c r="RMD499" s="96"/>
      <c r="RME499" s="97"/>
      <c r="RMF499" s="97"/>
      <c r="RMG499" s="97"/>
      <c r="RMH499" s="97"/>
      <c r="RMI499" s="97"/>
      <c r="RMJ499" s="97"/>
      <c r="RMK499" s="97"/>
      <c r="RML499" s="97"/>
      <c r="RMN499" s="94"/>
      <c r="RMO499" s="94"/>
      <c r="RMP499" s="95"/>
      <c r="RMQ499" s="96"/>
      <c r="RMR499" s="97"/>
      <c r="RMS499" s="97"/>
      <c r="RMT499" s="97"/>
      <c r="RMU499" s="97"/>
      <c r="RMV499" s="97"/>
      <c r="RMW499" s="97"/>
      <c r="RMX499" s="97"/>
      <c r="RMY499" s="97"/>
      <c r="RNA499" s="94"/>
      <c r="RNB499" s="94"/>
      <c r="RNC499" s="95"/>
      <c r="RND499" s="96"/>
      <c r="RNE499" s="97"/>
      <c r="RNF499" s="97"/>
      <c r="RNG499" s="97"/>
      <c r="RNH499" s="97"/>
      <c r="RNI499" s="97"/>
      <c r="RNJ499" s="97"/>
      <c r="RNK499" s="97"/>
      <c r="RNL499" s="97"/>
      <c r="RNN499" s="94"/>
      <c r="RNO499" s="94"/>
      <c r="RNP499" s="95"/>
      <c r="RNQ499" s="96"/>
      <c r="RNR499" s="97"/>
      <c r="RNS499" s="97"/>
      <c r="RNT499" s="97"/>
      <c r="RNU499" s="97"/>
      <c r="RNV499" s="97"/>
      <c r="RNW499" s="97"/>
      <c r="RNX499" s="97"/>
      <c r="RNY499" s="97"/>
      <c r="ROA499" s="94"/>
      <c r="ROB499" s="94"/>
      <c r="ROC499" s="95"/>
      <c r="ROD499" s="96"/>
      <c r="ROE499" s="97"/>
      <c r="ROF499" s="97"/>
      <c r="ROG499" s="97"/>
      <c r="ROH499" s="97"/>
      <c r="ROI499" s="97"/>
      <c r="ROJ499" s="97"/>
      <c r="ROK499" s="97"/>
      <c r="ROL499" s="97"/>
      <c r="RON499" s="94"/>
      <c r="ROO499" s="94"/>
      <c r="ROP499" s="95"/>
      <c r="ROQ499" s="96"/>
      <c r="ROR499" s="97"/>
      <c r="ROS499" s="97"/>
      <c r="ROT499" s="97"/>
      <c r="ROU499" s="97"/>
      <c r="ROV499" s="97"/>
      <c r="ROW499" s="97"/>
      <c r="ROX499" s="97"/>
      <c r="ROY499" s="97"/>
      <c r="RPA499" s="94"/>
      <c r="RPB499" s="94"/>
      <c r="RPC499" s="95"/>
      <c r="RPD499" s="96"/>
      <c r="RPE499" s="97"/>
      <c r="RPF499" s="97"/>
      <c r="RPG499" s="97"/>
      <c r="RPH499" s="97"/>
      <c r="RPI499" s="97"/>
      <c r="RPJ499" s="97"/>
      <c r="RPK499" s="97"/>
      <c r="RPL499" s="97"/>
      <c r="RPN499" s="94"/>
      <c r="RPO499" s="94"/>
      <c r="RPP499" s="95"/>
      <c r="RPQ499" s="96"/>
      <c r="RPR499" s="97"/>
      <c r="RPS499" s="97"/>
      <c r="RPT499" s="97"/>
      <c r="RPU499" s="97"/>
      <c r="RPV499" s="97"/>
      <c r="RPW499" s="97"/>
      <c r="RPX499" s="97"/>
      <c r="RPY499" s="97"/>
      <c r="RQA499" s="94"/>
      <c r="RQB499" s="94"/>
      <c r="RQC499" s="95"/>
      <c r="RQD499" s="96"/>
      <c r="RQE499" s="97"/>
      <c r="RQF499" s="97"/>
      <c r="RQG499" s="97"/>
      <c r="RQH499" s="97"/>
      <c r="RQI499" s="97"/>
      <c r="RQJ499" s="97"/>
      <c r="RQK499" s="97"/>
      <c r="RQL499" s="97"/>
      <c r="RQN499" s="94"/>
      <c r="RQO499" s="94"/>
      <c r="RQP499" s="95"/>
      <c r="RQQ499" s="96"/>
      <c r="RQR499" s="97"/>
      <c r="RQS499" s="97"/>
      <c r="RQT499" s="97"/>
      <c r="RQU499" s="97"/>
      <c r="RQV499" s="97"/>
      <c r="RQW499" s="97"/>
      <c r="RQX499" s="97"/>
      <c r="RQY499" s="97"/>
      <c r="RRA499" s="94"/>
      <c r="RRB499" s="94"/>
      <c r="RRC499" s="95"/>
      <c r="RRD499" s="96"/>
      <c r="RRE499" s="97"/>
      <c r="RRF499" s="97"/>
      <c r="RRG499" s="97"/>
      <c r="RRH499" s="97"/>
      <c r="RRI499" s="97"/>
      <c r="RRJ499" s="97"/>
      <c r="RRK499" s="97"/>
      <c r="RRL499" s="97"/>
      <c r="RRN499" s="94"/>
      <c r="RRO499" s="94"/>
      <c r="RRP499" s="95"/>
      <c r="RRQ499" s="96"/>
      <c r="RRR499" s="97"/>
      <c r="RRS499" s="97"/>
      <c r="RRT499" s="97"/>
      <c r="RRU499" s="97"/>
      <c r="RRV499" s="97"/>
      <c r="RRW499" s="97"/>
      <c r="RRX499" s="97"/>
      <c r="RRY499" s="97"/>
      <c r="RSA499" s="94"/>
      <c r="RSB499" s="94"/>
      <c r="RSC499" s="95"/>
      <c r="RSD499" s="96"/>
      <c r="RSE499" s="97"/>
      <c r="RSF499" s="97"/>
      <c r="RSG499" s="97"/>
      <c r="RSH499" s="97"/>
      <c r="RSI499" s="97"/>
      <c r="RSJ499" s="97"/>
      <c r="RSK499" s="97"/>
      <c r="RSL499" s="97"/>
      <c r="RSN499" s="94"/>
      <c r="RSO499" s="94"/>
      <c r="RSP499" s="95"/>
      <c r="RSQ499" s="96"/>
      <c r="RSR499" s="97"/>
      <c r="RSS499" s="97"/>
      <c r="RST499" s="97"/>
      <c r="RSU499" s="97"/>
      <c r="RSV499" s="97"/>
      <c r="RSW499" s="97"/>
      <c r="RSX499" s="97"/>
      <c r="RSY499" s="97"/>
      <c r="RTA499" s="94"/>
      <c r="RTB499" s="94"/>
      <c r="RTC499" s="95"/>
      <c r="RTD499" s="96"/>
      <c r="RTE499" s="97"/>
      <c r="RTF499" s="97"/>
      <c r="RTG499" s="97"/>
      <c r="RTH499" s="97"/>
      <c r="RTI499" s="97"/>
      <c r="RTJ499" s="97"/>
      <c r="RTK499" s="97"/>
      <c r="RTL499" s="97"/>
      <c r="RTN499" s="94"/>
      <c r="RTO499" s="94"/>
      <c r="RTP499" s="95"/>
      <c r="RTQ499" s="96"/>
      <c r="RTR499" s="97"/>
      <c r="RTS499" s="97"/>
      <c r="RTT499" s="97"/>
      <c r="RTU499" s="97"/>
      <c r="RTV499" s="97"/>
      <c r="RTW499" s="97"/>
      <c r="RTX499" s="97"/>
      <c r="RTY499" s="97"/>
      <c r="RUA499" s="94"/>
      <c r="RUB499" s="94"/>
      <c r="RUC499" s="95"/>
      <c r="RUD499" s="96"/>
      <c r="RUE499" s="97"/>
      <c r="RUF499" s="97"/>
      <c r="RUG499" s="97"/>
      <c r="RUH499" s="97"/>
      <c r="RUI499" s="97"/>
      <c r="RUJ499" s="97"/>
      <c r="RUK499" s="97"/>
      <c r="RUL499" s="97"/>
      <c r="RUN499" s="94"/>
      <c r="RUO499" s="94"/>
      <c r="RUP499" s="95"/>
      <c r="RUQ499" s="96"/>
      <c r="RUR499" s="97"/>
      <c r="RUS499" s="97"/>
      <c r="RUT499" s="97"/>
      <c r="RUU499" s="97"/>
      <c r="RUV499" s="97"/>
      <c r="RUW499" s="97"/>
      <c r="RUX499" s="97"/>
      <c r="RUY499" s="97"/>
      <c r="RVA499" s="94"/>
      <c r="RVB499" s="94"/>
      <c r="RVC499" s="95"/>
      <c r="RVD499" s="96"/>
      <c r="RVE499" s="97"/>
      <c r="RVF499" s="97"/>
      <c r="RVG499" s="97"/>
      <c r="RVH499" s="97"/>
      <c r="RVI499" s="97"/>
      <c r="RVJ499" s="97"/>
      <c r="RVK499" s="97"/>
      <c r="RVL499" s="97"/>
      <c r="RVN499" s="94"/>
      <c r="RVO499" s="94"/>
      <c r="RVP499" s="95"/>
      <c r="RVQ499" s="96"/>
      <c r="RVR499" s="97"/>
      <c r="RVS499" s="97"/>
      <c r="RVT499" s="97"/>
      <c r="RVU499" s="97"/>
      <c r="RVV499" s="97"/>
      <c r="RVW499" s="97"/>
      <c r="RVX499" s="97"/>
      <c r="RVY499" s="97"/>
      <c r="RWA499" s="94"/>
      <c r="RWB499" s="94"/>
      <c r="RWC499" s="95"/>
      <c r="RWD499" s="96"/>
      <c r="RWE499" s="97"/>
      <c r="RWF499" s="97"/>
      <c r="RWG499" s="97"/>
      <c r="RWH499" s="97"/>
      <c r="RWI499" s="97"/>
      <c r="RWJ499" s="97"/>
      <c r="RWK499" s="97"/>
      <c r="RWL499" s="97"/>
      <c r="RWN499" s="94"/>
      <c r="RWO499" s="94"/>
      <c r="RWP499" s="95"/>
      <c r="RWQ499" s="96"/>
      <c r="RWR499" s="97"/>
      <c r="RWS499" s="97"/>
      <c r="RWT499" s="97"/>
      <c r="RWU499" s="97"/>
      <c r="RWV499" s="97"/>
      <c r="RWW499" s="97"/>
      <c r="RWX499" s="97"/>
      <c r="RWY499" s="97"/>
      <c r="RXA499" s="94"/>
      <c r="RXB499" s="94"/>
      <c r="RXC499" s="95"/>
      <c r="RXD499" s="96"/>
      <c r="RXE499" s="97"/>
      <c r="RXF499" s="97"/>
      <c r="RXG499" s="97"/>
      <c r="RXH499" s="97"/>
      <c r="RXI499" s="97"/>
      <c r="RXJ499" s="97"/>
      <c r="RXK499" s="97"/>
      <c r="RXL499" s="97"/>
      <c r="RXN499" s="94"/>
      <c r="RXO499" s="94"/>
      <c r="RXP499" s="95"/>
      <c r="RXQ499" s="96"/>
      <c r="RXR499" s="97"/>
      <c r="RXS499" s="97"/>
      <c r="RXT499" s="97"/>
      <c r="RXU499" s="97"/>
      <c r="RXV499" s="97"/>
      <c r="RXW499" s="97"/>
      <c r="RXX499" s="97"/>
      <c r="RXY499" s="97"/>
      <c r="RYA499" s="94"/>
      <c r="RYB499" s="94"/>
      <c r="RYC499" s="95"/>
      <c r="RYD499" s="96"/>
      <c r="RYE499" s="97"/>
      <c r="RYF499" s="97"/>
      <c r="RYG499" s="97"/>
      <c r="RYH499" s="97"/>
      <c r="RYI499" s="97"/>
      <c r="RYJ499" s="97"/>
      <c r="RYK499" s="97"/>
      <c r="RYL499" s="97"/>
      <c r="RYN499" s="94"/>
      <c r="RYO499" s="94"/>
      <c r="RYP499" s="95"/>
      <c r="RYQ499" s="96"/>
      <c r="RYR499" s="97"/>
      <c r="RYS499" s="97"/>
      <c r="RYT499" s="97"/>
      <c r="RYU499" s="97"/>
      <c r="RYV499" s="97"/>
      <c r="RYW499" s="97"/>
      <c r="RYX499" s="97"/>
      <c r="RYY499" s="97"/>
      <c r="RZA499" s="94"/>
      <c r="RZB499" s="94"/>
      <c r="RZC499" s="95"/>
      <c r="RZD499" s="96"/>
      <c r="RZE499" s="97"/>
      <c r="RZF499" s="97"/>
      <c r="RZG499" s="97"/>
      <c r="RZH499" s="97"/>
      <c r="RZI499" s="97"/>
      <c r="RZJ499" s="97"/>
      <c r="RZK499" s="97"/>
      <c r="RZL499" s="97"/>
      <c r="RZN499" s="94"/>
      <c r="RZO499" s="94"/>
      <c r="RZP499" s="95"/>
      <c r="RZQ499" s="96"/>
      <c r="RZR499" s="97"/>
      <c r="RZS499" s="97"/>
      <c r="RZT499" s="97"/>
      <c r="RZU499" s="97"/>
      <c r="RZV499" s="97"/>
      <c r="RZW499" s="97"/>
      <c r="RZX499" s="97"/>
      <c r="RZY499" s="97"/>
      <c r="SAA499" s="94"/>
      <c r="SAB499" s="94"/>
      <c r="SAC499" s="95"/>
      <c r="SAD499" s="96"/>
      <c r="SAE499" s="97"/>
      <c r="SAF499" s="97"/>
      <c r="SAG499" s="97"/>
      <c r="SAH499" s="97"/>
      <c r="SAI499" s="97"/>
      <c r="SAJ499" s="97"/>
      <c r="SAK499" s="97"/>
      <c r="SAL499" s="97"/>
      <c r="SAN499" s="94"/>
      <c r="SAO499" s="94"/>
      <c r="SAP499" s="95"/>
      <c r="SAQ499" s="96"/>
      <c r="SAR499" s="97"/>
      <c r="SAS499" s="97"/>
      <c r="SAT499" s="97"/>
      <c r="SAU499" s="97"/>
      <c r="SAV499" s="97"/>
      <c r="SAW499" s="97"/>
      <c r="SAX499" s="97"/>
      <c r="SAY499" s="97"/>
      <c r="SBA499" s="94"/>
      <c r="SBB499" s="94"/>
      <c r="SBC499" s="95"/>
      <c r="SBD499" s="96"/>
      <c r="SBE499" s="97"/>
      <c r="SBF499" s="97"/>
      <c r="SBG499" s="97"/>
      <c r="SBH499" s="97"/>
      <c r="SBI499" s="97"/>
      <c r="SBJ499" s="97"/>
      <c r="SBK499" s="97"/>
      <c r="SBL499" s="97"/>
      <c r="SBN499" s="94"/>
      <c r="SBO499" s="94"/>
      <c r="SBP499" s="95"/>
      <c r="SBQ499" s="96"/>
      <c r="SBR499" s="97"/>
      <c r="SBS499" s="97"/>
      <c r="SBT499" s="97"/>
      <c r="SBU499" s="97"/>
      <c r="SBV499" s="97"/>
      <c r="SBW499" s="97"/>
      <c r="SBX499" s="97"/>
      <c r="SBY499" s="97"/>
      <c r="SCA499" s="94"/>
      <c r="SCB499" s="94"/>
      <c r="SCC499" s="95"/>
      <c r="SCD499" s="96"/>
      <c r="SCE499" s="97"/>
      <c r="SCF499" s="97"/>
      <c r="SCG499" s="97"/>
      <c r="SCH499" s="97"/>
      <c r="SCI499" s="97"/>
      <c r="SCJ499" s="97"/>
      <c r="SCK499" s="97"/>
      <c r="SCL499" s="97"/>
      <c r="SCN499" s="94"/>
      <c r="SCO499" s="94"/>
      <c r="SCP499" s="95"/>
      <c r="SCQ499" s="96"/>
      <c r="SCR499" s="97"/>
      <c r="SCS499" s="97"/>
      <c r="SCT499" s="97"/>
      <c r="SCU499" s="97"/>
      <c r="SCV499" s="97"/>
      <c r="SCW499" s="97"/>
      <c r="SCX499" s="97"/>
      <c r="SCY499" s="97"/>
      <c r="SDA499" s="94"/>
      <c r="SDB499" s="94"/>
      <c r="SDC499" s="95"/>
      <c r="SDD499" s="96"/>
      <c r="SDE499" s="97"/>
      <c r="SDF499" s="97"/>
      <c r="SDG499" s="97"/>
      <c r="SDH499" s="97"/>
      <c r="SDI499" s="97"/>
      <c r="SDJ499" s="97"/>
      <c r="SDK499" s="97"/>
      <c r="SDL499" s="97"/>
      <c r="SDN499" s="94"/>
      <c r="SDO499" s="94"/>
      <c r="SDP499" s="95"/>
      <c r="SDQ499" s="96"/>
      <c r="SDR499" s="97"/>
      <c r="SDS499" s="97"/>
      <c r="SDT499" s="97"/>
      <c r="SDU499" s="97"/>
      <c r="SDV499" s="97"/>
      <c r="SDW499" s="97"/>
      <c r="SDX499" s="97"/>
      <c r="SDY499" s="97"/>
      <c r="SEA499" s="94"/>
      <c r="SEB499" s="94"/>
      <c r="SEC499" s="95"/>
      <c r="SED499" s="96"/>
      <c r="SEE499" s="97"/>
      <c r="SEF499" s="97"/>
      <c r="SEG499" s="97"/>
      <c r="SEH499" s="97"/>
      <c r="SEI499" s="97"/>
      <c r="SEJ499" s="97"/>
      <c r="SEK499" s="97"/>
      <c r="SEL499" s="97"/>
      <c r="SEN499" s="94"/>
      <c r="SEO499" s="94"/>
      <c r="SEP499" s="95"/>
      <c r="SEQ499" s="96"/>
      <c r="SER499" s="97"/>
      <c r="SES499" s="97"/>
      <c r="SET499" s="97"/>
      <c r="SEU499" s="97"/>
      <c r="SEV499" s="97"/>
      <c r="SEW499" s="97"/>
      <c r="SEX499" s="97"/>
      <c r="SEY499" s="97"/>
      <c r="SFA499" s="94"/>
      <c r="SFB499" s="94"/>
      <c r="SFC499" s="95"/>
      <c r="SFD499" s="96"/>
      <c r="SFE499" s="97"/>
      <c r="SFF499" s="97"/>
      <c r="SFG499" s="97"/>
      <c r="SFH499" s="97"/>
      <c r="SFI499" s="97"/>
      <c r="SFJ499" s="97"/>
      <c r="SFK499" s="97"/>
      <c r="SFL499" s="97"/>
      <c r="SFN499" s="94"/>
      <c r="SFO499" s="94"/>
      <c r="SFP499" s="95"/>
      <c r="SFQ499" s="96"/>
      <c r="SFR499" s="97"/>
      <c r="SFS499" s="97"/>
      <c r="SFT499" s="97"/>
      <c r="SFU499" s="97"/>
      <c r="SFV499" s="97"/>
      <c r="SFW499" s="97"/>
      <c r="SFX499" s="97"/>
      <c r="SFY499" s="97"/>
      <c r="SGA499" s="94"/>
      <c r="SGB499" s="94"/>
      <c r="SGC499" s="95"/>
      <c r="SGD499" s="96"/>
      <c r="SGE499" s="97"/>
      <c r="SGF499" s="97"/>
      <c r="SGG499" s="97"/>
      <c r="SGH499" s="97"/>
      <c r="SGI499" s="97"/>
      <c r="SGJ499" s="97"/>
      <c r="SGK499" s="97"/>
      <c r="SGL499" s="97"/>
      <c r="SGN499" s="94"/>
      <c r="SGO499" s="94"/>
      <c r="SGP499" s="95"/>
      <c r="SGQ499" s="96"/>
      <c r="SGR499" s="97"/>
      <c r="SGS499" s="97"/>
      <c r="SGT499" s="97"/>
      <c r="SGU499" s="97"/>
      <c r="SGV499" s="97"/>
      <c r="SGW499" s="97"/>
      <c r="SGX499" s="97"/>
      <c r="SGY499" s="97"/>
      <c r="SHA499" s="94"/>
      <c r="SHB499" s="94"/>
      <c r="SHC499" s="95"/>
      <c r="SHD499" s="96"/>
      <c r="SHE499" s="97"/>
      <c r="SHF499" s="97"/>
      <c r="SHG499" s="97"/>
      <c r="SHH499" s="97"/>
      <c r="SHI499" s="97"/>
      <c r="SHJ499" s="97"/>
      <c r="SHK499" s="97"/>
      <c r="SHL499" s="97"/>
      <c r="SHN499" s="94"/>
      <c r="SHO499" s="94"/>
      <c r="SHP499" s="95"/>
      <c r="SHQ499" s="96"/>
      <c r="SHR499" s="97"/>
      <c r="SHS499" s="97"/>
      <c r="SHT499" s="97"/>
      <c r="SHU499" s="97"/>
      <c r="SHV499" s="97"/>
      <c r="SHW499" s="97"/>
      <c r="SHX499" s="97"/>
      <c r="SHY499" s="97"/>
      <c r="SIA499" s="94"/>
      <c r="SIB499" s="94"/>
      <c r="SIC499" s="95"/>
      <c r="SID499" s="96"/>
      <c r="SIE499" s="97"/>
      <c r="SIF499" s="97"/>
      <c r="SIG499" s="97"/>
      <c r="SIH499" s="97"/>
      <c r="SII499" s="97"/>
      <c r="SIJ499" s="97"/>
      <c r="SIK499" s="97"/>
      <c r="SIL499" s="97"/>
      <c r="SIN499" s="94"/>
      <c r="SIO499" s="94"/>
      <c r="SIP499" s="95"/>
      <c r="SIQ499" s="96"/>
      <c r="SIR499" s="97"/>
      <c r="SIS499" s="97"/>
      <c r="SIT499" s="97"/>
      <c r="SIU499" s="97"/>
      <c r="SIV499" s="97"/>
      <c r="SIW499" s="97"/>
      <c r="SIX499" s="97"/>
      <c r="SIY499" s="97"/>
      <c r="SJA499" s="94"/>
      <c r="SJB499" s="94"/>
      <c r="SJC499" s="95"/>
      <c r="SJD499" s="96"/>
      <c r="SJE499" s="97"/>
      <c r="SJF499" s="97"/>
      <c r="SJG499" s="97"/>
      <c r="SJH499" s="97"/>
      <c r="SJI499" s="97"/>
      <c r="SJJ499" s="97"/>
      <c r="SJK499" s="97"/>
      <c r="SJL499" s="97"/>
      <c r="SJN499" s="94"/>
      <c r="SJO499" s="94"/>
      <c r="SJP499" s="95"/>
      <c r="SJQ499" s="96"/>
      <c r="SJR499" s="97"/>
      <c r="SJS499" s="97"/>
      <c r="SJT499" s="97"/>
      <c r="SJU499" s="97"/>
      <c r="SJV499" s="97"/>
      <c r="SJW499" s="97"/>
      <c r="SJX499" s="97"/>
      <c r="SJY499" s="97"/>
      <c r="SKA499" s="94"/>
      <c r="SKB499" s="94"/>
      <c r="SKC499" s="95"/>
      <c r="SKD499" s="96"/>
      <c r="SKE499" s="97"/>
      <c r="SKF499" s="97"/>
      <c r="SKG499" s="97"/>
      <c r="SKH499" s="97"/>
      <c r="SKI499" s="97"/>
      <c r="SKJ499" s="97"/>
      <c r="SKK499" s="97"/>
      <c r="SKL499" s="97"/>
      <c r="SKN499" s="94"/>
      <c r="SKO499" s="94"/>
      <c r="SKP499" s="95"/>
      <c r="SKQ499" s="96"/>
      <c r="SKR499" s="97"/>
      <c r="SKS499" s="97"/>
      <c r="SKT499" s="97"/>
      <c r="SKU499" s="97"/>
      <c r="SKV499" s="97"/>
      <c r="SKW499" s="97"/>
      <c r="SKX499" s="97"/>
      <c r="SKY499" s="97"/>
      <c r="SLA499" s="94"/>
      <c r="SLB499" s="94"/>
      <c r="SLC499" s="95"/>
      <c r="SLD499" s="96"/>
      <c r="SLE499" s="97"/>
      <c r="SLF499" s="97"/>
      <c r="SLG499" s="97"/>
      <c r="SLH499" s="97"/>
      <c r="SLI499" s="97"/>
      <c r="SLJ499" s="97"/>
      <c r="SLK499" s="97"/>
      <c r="SLL499" s="97"/>
      <c r="SLN499" s="94"/>
      <c r="SLO499" s="94"/>
      <c r="SLP499" s="95"/>
      <c r="SLQ499" s="96"/>
      <c r="SLR499" s="97"/>
      <c r="SLS499" s="97"/>
      <c r="SLT499" s="97"/>
      <c r="SLU499" s="97"/>
      <c r="SLV499" s="97"/>
      <c r="SLW499" s="97"/>
      <c r="SLX499" s="97"/>
      <c r="SLY499" s="97"/>
      <c r="SMA499" s="94"/>
      <c r="SMB499" s="94"/>
      <c r="SMC499" s="95"/>
      <c r="SMD499" s="96"/>
      <c r="SME499" s="97"/>
      <c r="SMF499" s="97"/>
      <c r="SMG499" s="97"/>
      <c r="SMH499" s="97"/>
      <c r="SMI499" s="97"/>
      <c r="SMJ499" s="97"/>
      <c r="SMK499" s="97"/>
      <c r="SML499" s="97"/>
      <c r="SMN499" s="94"/>
      <c r="SMO499" s="94"/>
      <c r="SMP499" s="95"/>
      <c r="SMQ499" s="96"/>
      <c r="SMR499" s="97"/>
      <c r="SMS499" s="97"/>
      <c r="SMT499" s="97"/>
      <c r="SMU499" s="97"/>
      <c r="SMV499" s="97"/>
      <c r="SMW499" s="97"/>
      <c r="SMX499" s="97"/>
      <c r="SMY499" s="97"/>
      <c r="SNA499" s="94"/>
      <c r="SNB499" s="94"/>
      <c r="SNC499" s="95"/>
      <c r="SND499" s="96"/>
      <c r="SNE499" s="97"/>
      <c r="SNF499" s="97"/>
      <c r="SNG499" s="97"/>
      <c r="SNH499" s="97"/>
      <c r="SNI499" s="97"/>
      <c r="SNJ499" s="97"/>
      <c r="SNK499" s="97"/>
      <c r="SNL499" s="97"/>
      <c r="SNN499" s="94"/>
      <c r="SNO499" s="94"/>
      <c r="SNP499" s="95"/>
      <c r="SNQ499" s="96"/>
      <c r="SNR499" s="97"/>
      <c r="SNS499" s="97"/>
      <c r="SNT499" s="97"/>
      <c r="SNU499" s="97"/>
      <c r="SNV499" s="97"/>
      <c r="SNW499" s="97"/>
      <c r="SNX499" s="97"/>
      <c r="SNY499" s="97"/>
      <c r="SOA499" s="94"/>
      <c r="SOB499" s="94"/>
      <c r="SOC499" s="95"/>
      <c r="SOD499" s="96"/>
      <c r="SOE499" s="97"/>
      <c r="SOF499" s="97"/>
      <c r="SOG499" s="97"/>
      <c r="SOH499" s="97"/>
      <c r="SOI499" s="97"/>
      <c r="SOJ499" s="97"/>
      <c r="SOK499" s="97"/>
      <c r="SOL499" s="97"/>
      <c r="SON499" s="94"/>
      <c r="SOO499" s="94"/>
      <c r="SOP499" s="95"/>
      <c r="SOQ499" s="96"/>
      <c r="SOR499" s="97"/>
      <c r="SOS499" s="97"/>
      <c r="SOT499" s="97"/>
      <c r="SOU499" s="97"/>
      <c r="SOV499" s="97"/>
      <c r="SOW499" s="97"/>
      <c r="SOX499" s="97"/>
      <c r="SOY499" s="97"/>
      <c r="SPA499" s="94"/>
      <c r="SPB499" s="94"/>
      <c r="SPC499" s="95"/>
      <c r="SPD499" s="96"/>
      <c r="SPE499" s="97"/>
      <c r="SPF499" s="97"/>
      <c r="SPG499" s="97"/>
      <c r="SPH499" s="97"/>
      <c r="SPI499" s="97"/>
      <c r="SPJ499" s="97"/>
      <c r="SPK499" s="97"/>
      <c r="SPL499" s="97"/>
      <c r="SPN499" s="94"/>
      <c r="SPO499" s="94"/>
      <c r="SPP499" s="95"/>
      <c r="SPQ499" s="96"/>
      <c r="SPR499" s="97"/>
      <c r="SPS499" s="97"/>
      <c r="SPT499" s="97"/>
      <c r="SPU499" s="97"/>
      <c r="SPV499" s="97"/>
      <c r="SPW499" s="97"/>
      <c r="SPX499" s="97"/>
      <c r="SPY499" s="97"/>
      <c r="SQA499" s="94"/>
      <c r="SQB499" s="94"/>
      <c r="SQC499" s="95"/>
      <c r="SQD499" s="96"/>
      <c r="SQE499" s="97"/>
      <c r="SQF499" s="97"/>
      <c r="SQG499" s="97"/>
      <c r="SQH499" s="97"/>
      <c r="SQI499" s="97"/>
      <c r="SQJ499" s="97"/>
      <c r="SQK499" s="97"/>
      <c r="SQL499" s="97"/>
      <c r="SQN499" s="94"/>
      <c r="SQO499" s="94"/>
      <c r="SQP499" s="95"/>
      <c r="SQQ499" s="96"/>
      <c r="SQR499" s="97"/>
      <c r="SQS499" s="97"/>
      <c r="SQT499" s="97"/>
      <c r="SQU499" s="97"/>
      <c r="SQV499" s="97"/>
      <c r="SQW499" s="97"/>
      <c r="SQX499" s="97"/>
      <c r="SQY499" s="97"/>
      <c r="SRA499" s="94"/>
      <c r="SRB499" s="94"/>
      <c r="SRC499" s="95"/>
      <c r="SRD499" s="96"/>
      <c r="SRE499" s="97"/>
      <c r="SRF499" s="97"/>
      <c r="SRG499" s="97"/>
      <c r="SRH499" s="97"/>
      <c r="SRI499" s="97"/>
      <c r="SRJ499" s="97"/>
      <c r="SRK499" s="97"/>
      <c r="SRL499" s="97"/>
      <c r="SRN499" s="94"/>
      <c r="SRO499" s="94"/>
      <c r="SRP499" s="95"/>
      <c r="SRQ499" s="96"/>
      <c r="SRR499" s="97"/>
      <c r="SRS499" s="97"/>
      <c r="SRT499" s="97"/>
      <c r="SRU499" s="97"/>
      <c r="SRV499" s="97"/>
      <c r="SRW499" s="97"/>
      <c r="SRX499" s="97"/>
      <c r="SRY499" s="97"/>
      <c r="SSA499" s="94"/>
      <c r="SSB499" s="94"/>
      <c r="SSC499" s="95"/>
      <c r="SSD499" s="96"/>
      <c r="SSE499" s="97"/>
      <c r="SSF499" s="97"/>
      <c r="SSG499" s="97"/>
      <c r="SSH499" s="97"/>
      <c r="SSI499" s="97"/>
      <c r="SSJ499" s="97"/>
      <c r="SSK499" s="97"/>
      <c r="SSL499" s="97"/>
      <c r="SSN499" s="94"/>
      <c r="SSO499" s="94"/>
      <c r="SSP499" s="95"/>
      <c r="SSQ499" s="96"/>
      <c r="SSR499" s="97"/>
      <c r="SSS499" s="97"/>
      <c r="SST499" s="97"/>
      <c r="SSU499" s="97"/>
      <c r="SSV499" s="97"/>
      <c r="SSW499" s="97"/>
      <c r="SSX499" s="97"/>
      <c r="SSY499" s="97"/>
      <c r="STA499" s="94"/>
      <c r="STB499" s="94"/>
      <c r="STC499" s="95"/>
      <c r="STD499" s="96"/>
      <c r="STE499" s="97"/>
      <c r="STF499" s="97"/>
      <c r="STG499" s="97"/>
      <c r="STH499" s="97"/>
      <c r="STI499" s="97"/>
      <c r="STJ499" s="97"/>
      <c r="STK499" s="97"/>
      <c r="STL499" s="97"/>
      <c r="STN499" s="94"/>
      <c r="STO499" s="94"/>
      <c r="STP499" s="95"/>
      <c r="STQ499" s="96"/>
      <c r="STR499" s="97"/>
      <c r="STS499" s="97"/>
      <c r="STT499" s="97"/>
      <c r="STU499" s="97"/>
      <c r="STV499" s="97"/>
      <c r="STW499" s="97"/>
      <c r="STX499" s="97"/>
      <c r="STY499" s="97"/>
      <c r="SUA499" s="94"/>
      <c r="SUB499" s="94"/>
      <c r="SUC499" s="95"/>
      <c r="SUD499" s="96"/>
      <c r="SUE499" s="97"/>
      <c r="SUF499" s="97"/>
      <c r="SUG499" s="97"/>
      <c r="SUH499" s="97"/>
      <c r="SUI499" s="97"/>
      <c r="SUJ499" s="97"/>
      <c r="SUK499" s="97"/>
      <c r="SUL499" s="97"/>
      <c r="SUN499" s="94"/>
      <c r="SUO499" s="94"/>
      <c r="SUP499" s="95"/>
      <c r="SUQ499" s="96"/>
      <c r="SUR499" s="97"/>
      <c r="SUS499" s="97"/>
      <c r="SUT499" s="97"/>
      <c r="SUU499" s="97"/>
      <c r="SUV499" s="97"/>
      <c r="SUW499" s="97"/>
      <c r="SUX499" s="97"/>
      <c r="SUY499" s="97"/>
      <c r="SVA499" s="94"/>
      <c r="SVB499" s="94"/>
      <c r="SVC499" s="95"/>
      <c r="SVD499" s="96"/>
      <c r="SVE499" s="97"/>
      <c r="SVF499" s="97"/>
      <c r="SVG499" s="97"/>
      <c r="SVH499" s="97"/>
      <c r="SVI499" s="97"/>
      <c r="SVJ499" s="97"/>
      <c r="SVK499" s="97"/>
      <c r="SVL499" s="97"/>
      <c r="SVN499" s="94"/>
      <c r="SVO499" s="94"/>
      <c r="SVP499" s="95"/>
      <c r="SVQ499" s="96"/>
      <c r="SVR499" s="97"/>
      <c r="SVS499" s="97"/>
      <c r="SVT499" s="97"/>
      <c r="SVU499" s="97"/>
      <c r="SVV499" s="97"/>
      <c r="SVW499" s="97"/>
      <c r="SVX499" s="97"/>
      <c r="SVY499" s="97"/>
      <c r="SWA499" s="94"/>
      <c r="SWB499" s="94"/>
      <c r="SWC499" s="95"/>
      <c r="SWD499" s="96"/>
      <c r="SWE499" s="97"/>
      <c r="SWF499" s="97"/>
      <c r="SWG499" s="97"/>
      <c r="SWH499" s="97"/>
      <c r="SWI499" s="97"/>
      <c r="SWJ499" s="97"/>
      <c r="SWK499" s="97"/>
      <c r="SWL499" s="97"/>
      <c r="SWN499" s="94"/>
      <c r="SWO499" s="94"/>
      <c r="SWP499" s="95"/>
      <c r="SWQ499" s="96"/>
      <c r="SWR499" s="97"/>
      <c r="SWS499" s="97"/>
      <c r="SWT499" s="97"/>
      <c r="SWU499" s="97"/>
      <c r="SWV499" s="97"/>
      <c r="SWW499" s="97"/>
      <c r="SWX499" s="97"/>
      <c r="SWY499" s="97"/>
      <c r="SXA499" s="94"/>
      <c r="SXB499" s="94"/>
      <c r="SXC499" s="95"/>
      <c r="SXD499" s="96"/>
      <c r="SXE499" s="97"/>
      <c r="SXF499" s="97"/>
      <c r="SXG499" s="97"/>
      <c r="SXH499" s="97"/>
      <c r="SXI499" s="97"/>
      <c r="SXJ499" s="97"/>
      <c r="SXK499" s="97"/>
      <c r="SXL499" s="97"/>
      <c r="SXN499" s="94"/>
      <c r="SXO499" s="94"/>
      <c r="SXP499" s="95"/>
      <c r="SXQ499" s="96"/>
      <c r="SXR499" s="97"/>
      <c r="SXS499" s="97"/>
      <c r="SXT499" s="97"/>
      <c r="SXU499" s="97"/>
      <c r="SXV499" s="97"/>
      <c r="SXW499" s="97"/>
      <c r="SXX499" s="97"/>
      <c r="SXY499" s="97"/>
      <c r="SYA499" s="94"/>
      <c r="SYB499" s="94"/>
      <c r="SYC499" s="95"/>
      <c r="SYD499" s="96"/>
      <c r="SYE499" s="97"/>
      <c r="SYF499" s="97"/>
      <c r="SYG499" s="97"/>
      <c r="SYH499" s="97"/>
      <c r="SYI499" s="97"/>
      <c r="SYJ499" s="97"/>
      <c r="SYK499" s="97"/>
      <c r="SYL499" s="97"/>
      <c r="SYN499" s="94"/>
      <c r="SYO499" s="94"/>
      <c r="SYP499" s="95"/>
      <c r="SYQ499" s="96"/>
      <c r="SYR499" s="97"/>
      <c r="SYS499" s="97"/>
      <c r="SYT499" s="97"/>
      <c r="SYU499" s="97"/>
      <c r="SYV499" s="97"/>
      <c r="SYW499" s="97"/>
      <c r="SYX499" s="97"/>
      <c r="SYY499" s="97"/>
      <c r="SZA499" s="94"/>
      <c r="SZB499" s="94"/>
      <c r="SZC499" s="95"/>
      <c r="SZD499" s="96"/>
      <c r="SZE499" s="97"/>
      <c r="SZF499" s="97"/>
      <c r="SZG499" s="97"/>
      <c r="SZH499" s="97"/>
      <c r="SZI499" s="97"/>
      <c r="SZJ499" s="97"/>
      <c r="SZK499" s="97"/>
      <c r="SZL499" s="97"/>
      <c r="SZN499" s="94"/>
      <c r="SZO499" s="94"/>
      <c r="SZP499" s="95"/>
      <c r="SZQ499" s="96"/>
      <c r="SZR499" s="97"/>
      <c r="SZS499" s="97"/>
      <c r="SZT499" s="97"/>
      <c r="SZU499" s="97"/>
      <c r="SZV499" s="97"/>
      <c r="SZW499" s="97"/>
      <c r="SZX499" s="97"/>
      <c r="SZY499" s="97"/>
      <c r="TAA499" s="94"/>
      <c r="TAB499" s="94"/>
      <c r="TAC499" s="95"/>
      <c r="TAD499" s="96"/>
      <c r="TAE499" s="97"/>
      <c r="TAF499" s="97"/>
      <c r="TAG499" s="97"/>
      <c r="TAH499" s="97"/>
      <c r="TAI499" s="97"/>
      <c r="TAJ499" s="97"/>
      <c r="TAK499" s="97"/>
      <c r="TAL499" s="97"/>
      <c r="TAN499" s="94"/>
      <c r="TAO499" s="94"/>
      <c r="TAP499" s="95"/>
      <c r="TAQ499" s="96"/>
      <c r="TAR499" s="97"/>
      <c r="TAS499" s="97"/>
      <c r="TAT499" s="97"/>
      <c r="TAU499" s="97"/>
      <c r="TAV499" s="97"/>
      <c r="TAW499" s="97"/>
      <c r="TAX499" s="97"/>
      <c r="TAY499" s="97"/>
      <c r="TBA499" s="94"/>
      <c r="TBB499" s="94"/>
      <c r="TBC499" s="95"/>
      <c r="TBD499" s="96"/>
      <c r="TBE499" s="97"/>
      <c r="TBF499" s="97"/>
      <c r="TBG499" s="97"/>
      <c r="TBH499" s="97"/>
      <c r="TBI499" s="97"/>
      <c r="TBJ499" s="97"/>
      <c r="TBK499" s="97"/>
      <c r="TBL499" s="97"/>
      <c r="TBN499" s="94"/>
      <c r="TBO499" s="94"/>
      <c r="TBP499" s="95"/>
      <c r="TBQ499" s="96"/>
      <c r="TBR499" s="97"/>
      <c r="TBS499" s="97"/>
      <c r="TBT499" s="97"/>
      <c r="TBU499" s="97"/>
      <c r="TBV499" s="97"/>
      <c r="TBW499" s="97"/>
      <c r="TBX499" s="97"/>
      <c r="TBY499" s="97"/>
      <c r="TCA499" s="94"/>
      <c r="TCB499" s="94"/>
      <c r="TCC499" s="95"/>
      <c r="TCD499" s="96"/>
      <c r="TCE499" s="97"/>
      <c r="TCF499" s="97"/>
      <c r="TCG499" s="97"/>
      <c r="TCH499" s="97"/>
      <c r="TCI499" s="97"/>
      <c r="TCJ499" s="97"/>
      <c r="TCK499" s="97"/>
      <c r="TCL499" s="97"/>
      <c r="TCN499" s="94"/>
      <c r="TCO499" s="94"/>
      <c r="TCP499" s="95"/>
      <c r="TCQ499" s="96"/>
      <c r="TCR499" s="97"/>
      <c r="TCS499" s="97"/>
      <c r="TCT499" s="97"/>
      <c r="TCU499" s="97"/>
      <c r="TCV499" s="97"/>
      <c r="TCW499" s="97"/>
      <c r="TCX499" s="97"/>
      <c r="TCY499" s="97"/>
      <c r="TDA499" s="94"/>
      <c r="TDB499" s="94"/>
      <c r="TDC499" s="95"/>
      <c r="TDD499" s="96"/>
      <c r="TDE499" s="97"/>
      <c r="TDF499" s="97"/>
      <c r="TDG499" s="97"/>
      <c r="TDH499" s="97"/>
      <c r="TDI499" s="97"/>
      <c r="TDJ499" s="97"/>
      <c r="TDK499" s="97"/>
      <c r="TDL499" s="97"/>
      <c r="TDN499" s="94"/>
      <c r="TDO499" s="94"/>
      <c r="TDP499" s="95"/>
      <c r="TDQ499" s="96"/>
      <c r="TDR499" s="97"/>
      <c r="TDS499" s="97"/>
      <c r="TDT499" s="97"/>
      <c r="TDU499" s="97"/>
      <c r="TDV499" s="97"/>
      <c r="TDW499" s="97"/>
      <c r="TDX499" s="97"/>
      <c r="TDY499" s="97"/>
      <c r="TEA499" s="94"/>
      <c r="TEB499" s="94"/>
      <c r="TEC499" s="95"/>
      <c r="TED499" s="96"/>
      <c r="TEE499" s="97"/>
      <c r="TEF499" s="97"/>
      <c r="TEG499" s="97"/>
      <c r="TEH499" s="97"/>
      <c r="TEI499" s="97"/>
      <c r="TEJ499" s="97"/>
      <c r="TEK499" s="97"/>
      <c r="TEL499" s="97"/>
      <c r="TEN499" s="94"/>
      <c r="TEO499" s="94"/>
      <c r="TEP499" s="95"/>
      <c r="TEQ499" s="96"/>
      <c r="TER499" s="97"/>
      <c r="TES499" s="97"/>
      <c r="TET499" s="97"/>
      <c r="TEU499" s="97"/>
      <c r="TEV499" s="97"/>
      <c r="TEW499" s="97"/>
      <c r="TEX499" s="97"/>
      <c r="TEY499" s="97"/>
      <c r="TFA499" s="94"/>
      <c r="TFB499" s="94"/>
      <c r="TFC499" s="95"/>
      <c r="TFD499" s="96"/>
      <c r="TFE499" s="97"/>
      <c r="TFF499" s="97"/>
      <c r="TFG499" s="97"/>
      <c r="TFH499" s="97"/>
      <c r="TFI499" s="97"/>
      <c r="TFJ499" s="97"/>
      <c r="TFK499" s="97"/>
      <c r="TFL499" s="97"/>
      <c r="TFN499" s="94"/>
      <c r="TFO499" s="94"/>
      <c r="TFP499" s="95"/>
      <c r="TFQ499" s="96"/>
      <c r="TFR499" s="97"/>
      <c r="TFS499" s="97"/>
      <c r="TFT499" s="97"/>
      <c r="TFU499" s="97"/>
      <c r="TFV499" s="97"/>
      <c r="TFW499" s="97"/>
      <c r="TFX499" s="97"/>
      <c r="TFY499" s="97"/>
      <c r="TGA499" s="94"/>
      <c r="TGB499" s="94"/>
      <c r="TGC499" s="95"/>
      <c r="TGD499" s="96"/>
      <c r="TGE499" s="97"/>
      <c r="TGF499" s="97"/>
      <c r="TGG499" s="97"/>
      <c r="TGH499" s="97"/>
      <c r="TGI499" s="97"/>
      <c r="TGJ499" s="97"/>
      <c r="TGK499" s="97"/>
      <c r="TGL499" s="97"/>
      <c r="TGN499" s="94"/>
      <c r="TGO499" s="94"/>
      <c r="TGP499" s="95"/>
      <c r="TGQ499" s="96"/>
      <c r="TGR499" s="97"/>
      <c r="TGS499" s="97"/>
      <c r="TGT499" s="97"/>
      <c r="TGU499" s="97"/>
      <c r="TGV499" s="97"/>
      <c r="TGW499" s="97"/>
      <c r="TGX499" s="97"/>
      <c r="TGY499" s="97"/>
      <c r="THA499" s="94"/>
      <c r="THB499" s="94"/>
      <c r="THC499" s="95"/>
      <c r="THD499" s="96"/>
      <c r="THE499" s="97"/>
      <c r="THF499" s="97"/>
      <c r="THG499" s="97"/>
      <c r="THH499" s="97"/>
      <c r="THI499" s="97"/>
      <c r="THJ499" s="97"/>
      <c r="THK499" s="97"/>
      <c r="THL499" s="97"/>
      <c r="THN499" s="94"/>
      <c r="THO499" s="94"/>
      <c r="THP499" s="95"/>
      <c r="THQ499" s="96"/>
      <c r="THR499" s="97"/>
      <c r="THS499" s="97"/>
      <c r="THT499" s="97"/>
      <c r="THU499" s="97"/>
      <c r="THV499" s="97"/>
      <c r="THW499" s="97"/>
      <c r="THX499" s="97"/>
      <c r="THY499" s="97"/>
      <c r="TIA499" s="94"/>
      <c r="TIB499" s="94"/>
      <c r="TIC499" s="95"/>
      <c r="TID499" s="96"/>
      <c r="TIE499" s="97"/>
      <c r="TIF499" s="97"/>
      <c r="TIG499" s="97"/>
      <c r="TIH499" s="97"/>
      <c r="TII499" s="97"/>
      <c r="TIJ499" s="97"/>
      <c r="TIK499" s="97"/>
      <c r="TIL499" s="97"/>
      <c r="TIN499" s="94"/>
      <c r="TIO499" s="94"/>
      <c r="TIP499" s="95"/>
      <c r="TIQ499" s="96"/>
      <c r="TIR499" s="97"/>
      <c r="TIS499" s="97"/>
      <c r="TIT499" s="97"/>
      <c r="TIU499" s="97"/>
      <c r="TIV499" s="97"/>
      <c r="TIW499" s="97"/>
      <c r="TIX499" s="97"/>
      <c r="TIY499" s="97"/>
      <c r="TJA499" s="94"/>
      <c r="TJB499" s="94"/>
      <c r="TJC499" s="95"/>
      <c r="TJD499" s="96"/>
      <c r="TJE499" s="97"/>
      <c r="TJF499" s="97"/>
      <c r="TJG499" s="97"/>
      <c r="TJH499" s="97"/>
      <c r="TJI499" s="97"/>
      <c r="TJJ499" s="97"/>
      <c r="TJK499" s="97"/>
      <c r="TJL499" s="97"/>
      <c r="TJN499" s="94"/>
      <c r="TJO499" s="94"/>
      <c r="TJP499" s="95"/>
      <c r="TJQ499" s="96"/>
      <c r="TJR499" s="97"/>
      <c r="TJS499" s="97"/>
      <c r="TJT499" s="97"/>
      <c r="TJU499" s="97"/>
      <c r="TJV499" s="97"/>
      <c r="TJW499" s="97"/>
      <c r="TJX499" s="97"/>
      <c r="TJY499" s="97"/>
      <c r="TKA499" s="94"/>
      <c r="TKB499" s="94"/>
      <c r="TKC499" s="95"/>
      <c r="TKD499" s="96"/>
      <c r="TKE499" s="97"/>
      <c r="TKF499" s="97"/>
      <c r="TKG499" s="97"/>
      <c r="TKH499" s="97"/>
      <c r="TKI499" s="97"/>
      <c r="TKJ499" s="97"/>
      <c r="TKK499" s="97"/>
      <c r="TKL499" s="97"/>
      <c r="TKN499" s="94"/>
      <c r="TKO499" s="94"/>
      <c r="TKP499" s="95"/>
      <c r="TKQ499" s="96"/>
      <c r="TKR499" s="97"/>
      <c r="TKS499" s="97"/>
      <c r="TKT499" s="97"/>
      <c r="TKU499" s="97"/>
      <c r="TKV499" s="97"/>
      <c r="TKW499" s="97"/>
      <c r="TKX499" s="97"/>
      <c r="TKY499" s="97"/>
      <c r="TLA499" s="94"/>
      <c r="TLB499" s="94"/>
      <c r="TLC499" s="95"/>
      <c r="TLD499" s="96"/>
      <c r="TLE499" s="97"/>
      <c r="TLF499" s="97"/>
      <c r="TLG499" s="97"/>
      <c r="TLH499" s="97"/>
      <c r="TLI499" s="97"/>
      <c r="TLJ499" s="97"/>
      <c r="TLK499" s="97"/>
      <c r="TLL499" s="97"/>
      <c r="TLN499" s="94"/>
      <c r="TLO499" s="94"/>
      <c r="TLP499" s="95"/>
      <c r="TLQ499" s="96"/>
      <c r="TLR499" s="97"/>
      <c r="TLS499" s="97"/>
      <c r="TLT499" s="97"/>
      <c r="TLU499" s="97"/>
      <c r="TLV499" s="97"/>
      <c r="TLW499" s="97"/>
      <c r="TLX499" s="97"/>
      <c r="TLY499" s="97"/>
      <c r="TMA499" s="94"/>
      <c r="TMB499" s="94"/>
      <c r="TMC499" s="95"/>
      <c r="TMD499" s="96"/>
      <c r="TME499" s="97"/>
      <c r="TMF499" s="97"/>
      <c r="TMG499" s="97"/>
      <c r="TMH499" s="97"/>
      <c r="TMI499" s="97"/>
      <c r="TMJ499" s="97"/>
      <c r="TMK499" s="97"/>
      <c r="TML499" s="97"/>
      <c r="TMN499" s="94"/>
      <c r="TMO499" s="94"/>
      <c r="TMP499" s="95"/>
      <c r="TMQ499" s="96"/>
      <c r="TMR499" s="97"/>
      <c r="TMS499" s="97"/>
      <c r="TMT499" s="97"/>
      <c r="TMU499" s="97"/>
      <c r="TMV499" s="97"/>
      <c r="TMW499" s="97"/>
      <c r="TMX499" s="97"/>
      <c r="TMY499" s="97"/>
      <c r="TNA499" s="94"/>
      <c r="TNB499" s="94"/>
      <c r="TNC499" s="95"/>
      <c r="TND499" s="96"/>
      <c r="TNE499" s="97"/>
      <c r="TNF499" s="97"/>
      <c r="TNG499" s="97"/>
      <c r="TNH499" s="97"/>
      <c r="TNI499" s="97"/>
      <c r="TNJ499" s="97"/>
      <c r="TNK499" s="97"/>
      <c r="TNL499" s="97"/>
      <c r="TNN499" s="94"/>
      <c r="TNO499" s="94"/>
      <c r="TNP499" s="95"/>
      <c r="TNQ499" s="96"/>
      <c r="TNR499" s="97"/>
      <c r="TNS499" s="97"/>
      <c r="TNT499" s="97"/>
      <c r="TNU499" s="97"/>
      <c r="TNV499" s="97"/>
      <c r="TNW499" s="97"/>
      <c r="TNX499" s="97"/>
      <c r="TNY499" s="97"/>
      <c r="TOA499" s="94"/>
      <c r="TOB499" s="94"/>
      <c r="TOC499" s="95"/>
      <c r="TOD499" s="96"/>
      <c r="TOE499" s="97"/>
      <c r="TOF499" s="97"/>
      <c r="TOG499" s="97"/>
      <c r="TOH499" s="97"/>
      <c r="TOI499" s="97"/>
      <c r="TOJ499" s="97"/>
      <c r="TOK499" s="97"/>
      <c r="TOL499" s="97"/>
      <c r="TON499" s="94"/>
      <c r="TOO499" s="94"/>
      <c r="TOP499" s="95"/>
      <c r="TOQ499" s="96"/>
      <c r="TOR499" s="97"/>
      <c r="TOS499" s="97"/>
      <c r="TOT499" s="97"/>
      <c r="TOU499" s="97"/>
      <c r="TOV499" s="97"/>
      <c r="TOW499" s="97"/>
      <c r="TOX499" s="97"/>
      <c r="TOY499" s="97"/>
      <c r="TPA499" s="94"/>
      <c r="TPB499" s="94"/>
      <c r="TPC499" s="95"/>
      <c r="TPD499" s="96"/>
      <c r="TPE499" s="97"/>
      <c r="TPF499" s="97"/>
      <c r="TPG499" s="97"/>
      <c r="TPH499" s="97"/>
      <c r="TPI499" s="97"/>
      <c r="TPJ499" s="97"/>
      <c r="TPK499" s="97"/>
      <c r="TPL499" s="97"/>
      <c r="TPN499" s="94"/>
      <c r="TPO499" s="94"/>
      <c r="TPP499" s="95"/>
      <c r="TPQ499" s="96"/>
      <c r="TPR499" s="97"/>
      <c r="TPS499" s="97"/>
      <c r="TPT499" s="97"/>
      <c r="TPU499" s="97"/>
      <c r="TPV499" s="97"/>
      <c r="TPW499" s="97"/>
      <c r="TPX499" s="97"/>
      <c r="TPY499" s="97"/>
      <c r="TQA499" s="94"/>
      <c r="TQB499" s="94"/>
      <c r="TQC499" s="95"/>
      <c r="TQD499" s="96"/>
      <c r="TQE499" s="97"/>
      <c r="TQF499" s="97"/>
      <c r="TQG499" s="97"/>
      <c r="TQH499" s="97"/>
      <c r="TQI499" s="97"/>
      <c r="TQJ499" s="97"/>
      <c r="TQK499" s="97"/>
      <c r="TQL499" s="97"/>
      <c r="TQN499" s="94"/>
      <c r="TQO499" s="94"/>
      <c r="TQP499" s="95"/>
      <c r="TQQ499" s="96"/>
      <c r="TQR499" s="97"/>
      <c r="TQS499" s="97"/>
      <c r="TQT499" s="97"/>
      <c r="TQU499" s="97"/>
      <c r="TQV499" s="97"/>
      <c r="TQW499" s="97"/>
      <c r="TQX499" s="97"/>
      <c r="TQY499" s="97"/>
      <c r="TRA499" s="94"/>
      <c r="TRB499" s="94"/>
      <c r="TRC499" s="95"/>
      <c r="TRD499" s="96"/>
      <c r="TRE499" s="97"/>
      <c r="TRF499" s="97"/>
      <c r="TRG499" s="97"/>
      <c r="TRH499" s="97"/>
      <c r="TRI499" s="97"/>
      <c r="TRJ499" s="97"/>
      <c r="TRK499" s="97"/>
      <c r="TRL499" s="97"/>
      <c r="TRN499" s="94"/>
      <c r="TRO499" s="94"/>
      <c r="TRP499" s="95"/>
      <c r="TRQ499" s="96"/>
      <c r="TRR499" s="97"/>
      <c r="TRS499" s="97"/>
      <c r="TRT499" s="97"/>
      <c r="TRU499" s="97"/>
      <c r="TRV499" s="97"/>
      <c r="TRW499" s="97"/>
      <c r="TRX499" s="97"/>
      <c r="TRY499" s="97"/>
      <c r="TSA499" s="94"/>
      <c r="TSB499" s="94"/>
      <c r="TSC499" s="95"/>
      <c r="TSD499" s="96"/>
      <c r="TSE499" s="97"/>
      <c r="TSF499" s="97"/>
      <c r="TSG499" s="97"/>
      <c r="TSH499" s="97"/>
      <c r="TSI499" s="97"/>
      <c r="TSJ499" s="97"/>
      <c r="TSK499" s="97"/>
      <c r="TSL499" s="97"/>
      <c r="TSN499" s="94"/>
      <c r="TSO499" s="94"/>
      <c r="TSP499" s="95"/>
      <c r="TSQ499" s="96"/>
      <c r="TSR499" s="97"/>
      <c r="TSS499" s="97"/>
      <c r="TST499" s="97"/>
      <c r="TSU499" s="97"/>
      <c r="TSV499" s="97"/>
      <c r="TSW499" s="97"/>
      <c r="TSX499" s="97"/>
      <c r="TSY499" s="97"/>
      <c r="TTA499" s="94"/>
      <c r="TTB499" s="94"/>
      <c r="TTC499" s="95"/>
      <c r="TTD499" s="96"/>
      <c r="TTE499" s="97"/>
      <c r="TTF499" s="97"/>
      <c r="TTG499" s="97"/>
      <c r="TTH499" s="97"/>
      <c r="TTI499" s="97"/>
      <c r="TTJ499" s="97"/>
      <c r="TTK499" s="97"/>
      <c r="TTL499" s="97"/>
      <c r="TTN499" s="94"/>
      <c r="TTO499" s="94"/>
      <c r="TTP499" s="95"/>
      <c r="TTQ499" s="96"/>
      <c r="TTR499" s="97"/>
      <c r="TTS499" s="97"/>
      <c r="TTT499" s="97"/>
      <c r="TTU499" s="97"/>
      <c r="TTV499" s="97"/>
      <c r="TTW499" s="97"/>
      <c r="TTX499" s="97"/>
      <c r="TTY499" s="97"/>
      <c r="TUA499" s="94"/>
      <c r="TUB499" s="94"/>
      <c r="TUC499" s="95"/>
      <c r="TUD499" s="96"/>
      <c r="TUE499" s="97"/>
      <c r="TUF499" s="97"/>
      <c r="TUG499" s="97"/>
      <c r="TUH499" s="97"/>
      <c r="TUI499" s="97"/>
      <c r="TUJ499" s="97"/>
      <c r="TUK499" s="97"/>
      <c r="TUL499" s="97"/>
      <c r="TUN499" s="94"/>
      <c r="TUO499" s="94"/>
      <c r="TUP499" s="95"/>
      <c r="TUQ499" s="96"/>
      <c r="TUR499" s="97"/>
      <c r="TUS499" s="97"/>
      <c r="TUT499" s="97"/>
      <c r="TUU499" s="97"/>
      <c r="TUV499" s="97"/>
      <c r="TUW499" s="97"/>
      <c r="TUX499" s="97"/>
      <c r="TUY499" s="97"/>
      <c r="TVA499" s="94"/>
      <c r="TVB499" s="94"/>
      <c r="TVC499" s="95"/>
      <c r="TVD499" s="96"/>
      <c r="TVE499" s="97"/>
      <c r="TVF499" s="97"/>
      <c r="TVG499" s="97"/>
      <c r="TVH499" s="97"/>
      <c r="TVI499" s="97"/>
      <c r="TVJ499" s="97"/>
      <c r="TVK499" s="97"/>
      <c r="TVL499" s="97"/>
      <c r="TVN499" s="94"/>
      <c r="TVO499" s="94"/>
      <c r="TVP499" s="95"/>
      <c r="TVQ499" s="96"/>
      <c r="TVR499" s="97"/>
      <c r="TVS499" s="97"/>
      <c r="TVT499" s="97"/>
      <c r="TVU499" s="97"/>
      <c r="TVV499" s="97"/>
      <c r="TVW499" s="97"/>
      <c r="TVX499" s="97"/>
      <c r="TVY499" s="97"/>
      <c r="TWA499" s="94"/>
      <c r="TWB499" s="94"/>
      <c r="TWC499" s="95"/>
      <c r="TWD499" s="96"/>
      <c r="TWE499" s="97"/>
      <c r="TWF499" s="97"/>
      <c r="TWG499" s="97"/>
      <c r="TWH499" s="97"/>
      <c r="TWI499" s="97"/>
      <c r="TWJ499" s="97"/>
      <c r="TWK499" s="97"/>
      <c r="TWL499" s="97"/>
      <c r="TWN499" s="94"/>
      <c r="TWO499" s="94"/>
      <c r="TWP499" s="95"/>
      <c r="TWQ499" s="96"/>
      <c r="TWR499" s="97"/>
      <c r="TWS499" s="97"/>
      <c r="TWT499" s="97"/>
      <c r="TWU499" s="97"/>
      <c r="TWV499" s="97"/>
      <c r="TWW499" s="97"/>
      <c r="TWX499" s="97"/>
      <c r="TWY499" s="97"/>
      <c r="TXA499" s="94"/>
      <c r="TXB499" s="94"/>
      <c r="TXC499" s="95"/>
      <c r="TXD499" s="96"/>
      <c r="TXE499" s="97"/>
      <c r="TXF499" s="97"/>
      <c r="TXG499" s="97"/>
      <c r="TXH499" s="97"/>
      <c r="TXI499" s="97"/>
      <c r="TXJ499" s="97"/>
      <c r="TXK499" s="97"/>
      <c r="TXL499" s="97"/>
      <c r="TXN499" s="94"/>
      <c r="TXO499" s="94"/>
      <c r="TXP499" s="95"/>
      <c r="TXQ499" s="96"/>
      <c r="TXR499" s="97"/>
      <c r="TXS499" s="97"/>
      <c r="TXT499" s="97"/>
      <c r="TXU499" s="97"/>
      <c r="TXV499" s="97"/>
      <c r="TXW499" s="97"/>
      <c r="TXX499" s="97"/>
      <c r="TXY499" s="97"/>
      <c r="TYA499" s="94"/>
      <c r="TYB499" s="94"/>
      <c r="TYC499" s="95"/>
      <c r="TYD499" s="96"/>
      <c r="TYE499" s="97"/>
      <c r="TYF499" s="97"/>
      <c r="TYG499" s="97"/>
      <c r="TYH499" s="97"/>
      <c r="TYI499" s="97"/>
      <c r="TYJ499" s="97"/>
      <c r="TYK499" s="97"/>
      <c r="TYL499" s="97"/>
      <c r="TYN499" s="94"/>
      <c r="TYO499" s="94"/>
      <c r="TYP499" s="95"/>
      <c r="TYQ499" s="96"/>
      <c r="TYR499" s="97"/>
      <c r="TYS499" s="97"/>
      <c r="TYT499" s="97"/>
      <c r="TYU499" s="97"/>
      <c r="TYV499" s="97"/>
      <c r="TYW499" s="97"/>
      <c r="TYX499" s="97"/>
      <c r="TYY499" s="97"/>
      <c r="TZA499" s="94"/>
      <c r="TZB499" s="94"/>
      <c r="TZC499" s="95"/>
      <c r="TZD499" s="96"/>
      <c r="TZE499" s="97"/>
      <c r="TZF499" s="97"/>
      <c r="TZG499" s="97"/>
      <c r="TZH499" s="97"/>
      <c r="TZI499" s="97"/>
      <c r="TZJ499" s="97"/>
      <c r="TZK499" s="97"/>
      <c r="TZL499" s="97"/>
      <c r="TZN499" s="94"/>
      <c r="TZO499" s="94"/>
      <c r="TZP499" s="95"/>
      <c r="TZQ499" s="96"/>
      <c r="TZR499" s="97"/>
      <c r="TZS499" s="97"/>
      <c r="TZT499" s="97"/>
      <c r="TZU499" s="97"/>
      <c r="TZV499" s="97"/>
      <c r="TZW499" s="97"/>
      <c r="TZX499" s="97"/>
      <c r="TZY499" s="97"/>
      <c r="UAA499" s="94"/>
      <c r="UAB499" s="94"/>
      <c r="UAC499" s="95"/>
      <c r="UAD499" s="96"/>
      <c r="UAE499" s="97"/>
      <c r="UAF499" s="97"/>
      <c r="UAG499" s="97"/>
      <c r="UAH499" s="97"/>
      <c r="UAI499" s="97"/>
      <c r="UAJ499" s="97"/>
      <c r="UAK499" s="97"/>
      <c r="UAL499" s="97"/>
      <c r="UAN499" s="94"/>
      <c r="UAO499" s="94"/>
      <c r="UAP499" s="95"/>
      <c r="UAQ499" s="96"/>
      <c r="UAR499" s="97"/>
      <c r="UAS499" s="97"/>
      <c r="UAT499" s="97"/>
      <c r="UAU499" s="97"/>
      <c r="UAV499" s="97"/>
      <c r="UAW499" s="97"/>
      <c r="UAX499" s="97"/>
      <c r="UAY499" s="97"/>
      <c r="UBA499" s="94"/>
      <c r="UBB499" s="94"/>
      <c r="UBC499" s="95"/>
      <c r="UBD499" s="96"/>
      <c r="UBE499" s="97"/>
      <c r="UBF499" s="97"/>
      <c r="UBG499" s="97"/>
      <c r="UBH499" s="97"/>
      <c r="UBI499" s="97"/>
      <c r="UBJ499" s="97"/>
      <c r="UBK499" s="97"/>
      <c r="UBL499" s="97"/>
      <c r="UBN499" s="94"/>
      <c r="UBO499" s="94"/>
      <c r="UBP499" s="95"/>
      <c r="UBQ499" s="96"/>
      <c r="UBR499" s="97"/>
      <c r="UBS499" s="97"/>
      <c r="UBT499" s="97"/>
      <c r="UBU499" s="97"/>
      <c r="UBV499" s="97"/>
      <c r="UBW499" s="97"/>
      <c r="UBX499" s="97"/>
      <c r="UBY499" s="97"/>
      <c r="UCA499" s="94"/>
      <c r="UCB499" s="94"/>
      <c r="UCC499" s="95"/>
      <c r="UCD499" s="96"/>
      <c r="UCE499" s="97"/>
      <c r="UCF499" s="97"/>
      <c r="UCG499" s="97"/>
      <c r="UCH499" s="97"/>
      <c r="UCI499" s="97"/>
      <c r="UCJ499" s="97"/>
      <c r="UCK499" s="97"/>
      <c r="UCL499" s="97"/>
      <c r="UCN499" s="94"/>
      <c r="UCO499" s="94"/>
      <c r="UCP499" s="95"/>
      <c r="UCQ499" s="96"/>
      <c r="UCR499" s="97"/>
      <c r="UCS499" s="97"/>
      <c r="UCT499" s="97"/>
      <c r="UCU499" s="97"/>
      <c r="UCV499" s="97"/>
      <c r="UCW499" s="97"/>
      <c r="UCX499" s="97"/>
      <c r="UCY499" s="97"/>
      <c r="UDA499" s="94"/>
      <c r="UDB499" s="94"/>
      <c r="UDC499" s="95"/>
      <c r="UDD499" s="96"/>
      <c r="UDE499" s="97"/>
      <c r="UDF499" s="97"/>
      <c r="UDG499" s="97"/>
      <c r="UDH499" s="97"/>
      <c r="UDI499" s="97"/>
      <c r="UDJ499" s="97"/>
      <c r="UDK499" s="97"/>
      <c r="UDL499" s="97"/>
      <c r="UDN499" s="94"/>
      <c r="UDO499" s="94"/>
      <c r="UDP499" s="95"/>
      <c r="UDQ499" s="96"/>
      <c r="UDR499" s="97"/>
      <c r="UDS499" s="97"/>
      <c r="UDT499" s="97"/>
      <c r="UDU499" s="97"/>
      <c r="UDV499" s="97"/>
      <c r="UDW499" s="97"/>
      <c r="UDX499" s="97"/>
      <c r="UDY499" s="97"/>
      <c r="UEA499" s="94"/>
      <c r="UEB499" s="94"/>
      <c r="UEC499" s="95"/>
      <c r="UED499" s="96"/>
      <c r="UEE499" s="97"/>
      <c r="UEF499" s="97"/>
      <c r="UEG499" s="97"/>
      <c r="UEH499" s="97"/>
      <c r="UEI499" s="97"/>
      <c r="UEJ499" s="97"/>
      <c r="UEK499" s="97"/>
      <c r="UEL499" s="97"/>
      <c r="UEN499" s="94"/>
      <c r="UEO499" s="94"/>
      <c r="UEP499" s="95"/>
      <c r="UEQ499" s="96"/>
      <c r="UER499" s="97"/>
      <c r="UES499" s="97"/>
      <c r="UET499" s="97"/>
      <c r="UEU499" s="97"/>
      <c r="UEV499" s="97"/>
      <c r="UEW499" s="97"/>
      <c r="UEX499" s="97"/>
      <c r="UEY499" s="97"/>
      <c r="UFA499" s="94"/>
      <c r="UFB499" s="94"/>
      <c r="UFC499" s="95"/>
      <c r="UFD499" s="96"/>
      <c r="UFE499" s="97"/>
      <c r="UFF499" s="97"/>
      <c r="UFG499" s="97"/>
      <c r="UFH499" s="97"/>
      <c r="UFI499" s="97"/>
      <c r="UFJ499" s="97"/>
      <c r="UFK499" s="97"/>
      <c r="UFL499" s="97"/>
      <c r="UFN499" s="94"/>
      <c r="UFO499" s="94"/>
      <c r="UFP499" s="95"/>
      <c r="UFQ499" s="96"/>
      <c r="UFR499" s="97"/>
      <c r="UFS499" s="97"/>
      <c r="UFT499" s="97"/>
      <c r="UFU499" s="97"/>
      <c r="UFV499" s="97"/>
      <c r="UFW499" s="97"/>
      <c r="UFX499" s="97"/>
      <c r="UFY499" s="97"/>
      <c r="UGA499" s="94"/>
      <c r="UGB499" s="94"/>
      <c r="UGC499" s="95"/>
      <c r="UGD499" s="96"/>
      <c r="UGE499" s="97"/>
      <c r="UGF499" s="97"/>
      <c r="UGG499" s="97"/>
      <c r="UGH499" s="97"/>
      <c r="UGI499" s="97"/>
      <c r="UGJ499" s="97"/>
      <c r="UGK499" s="97"/>
      <c r="UGL499" s="97"/>
      <c r="UGN499" s="94"/>
      <c r="UGO499" s="94"/>
      <c r="UGP499" s="95"/>
      <c r="UGQ499" s="96"/>
      <c r="UGR499" s="97"/>
      <c r="UGS499" s="97"/>
      <c r="UGT499" s="97"/>
      <c r="UGU499" s="97"/>
      <c r="UGV499" s="97"/>
      <c r="UGW499" s="97"/>
      <c r="UGX499" s="97"/>
      <c r="UGY499" s="97"/>
      <c r="UHA499" s="94"/>
      <c r="UHB499" s="94"/>
      <c r="UHC499" s="95"/>
      <c r="UHD499" s="96"/>
      <c r="UHE499" s="97"/>
      <c r="UHF499" s="97"/>
      <c r="UHG499" s="97"/>
      <c r="UHH499" s="97"/>
      <c r="UHI499" s="97"/>
      <c r="UHJ499" s="97"/>
      <c r="UHK499" s="97"/>
      <c r="UHL499" s="97"/>
      <c r="UHN499" s="94"/>
      <c r="UHO499" s="94"/>
      <c r="UHP499" s="95"/>
      <c r="UHQ499" s="96"/>
      <c r="UHR499" s="97"/>
      <c r="UHS499" s="97"/>
      <c r="UHT499" s="97"/>
      <c r="UHU499" s="97"/>
      <c r="UHV499" s="97"/>
      <c r="UHW499" s="97"/>
      <c r="UHX499" s="97"/>
      <c r="UHY499" s="97"/>
      <c r="UIA499" s="94"/>
      <c r="UIB499" s="94"/>
      <c r="UIC499" s="95"/>
      <c r="UID499" s="96"/>
      <c r="UIE499" s="97"/>
      <c r="UIF499" s="97"/>
      <c r="UIG499" s="97"/>
      <c r="UIH499" s="97"/>
      <c r="UII499" s="97"/>
      <c r="UIJ499" s="97"/>
      <c r="UIK499" s="97"/>
      <c r="UIL499" s="97"/>
      <c r="UIN499" s="94"/>
      <c r="UIO499" s="94"/>
      <c r="UIP499" s="95"/>
      <c r="UIQ499" s="96"/>
      <c r="UIR499" s="97"/>
      <c r="UIS499" s="97"/>
      <c r="UIT499" s="97"/>
      <c r="UIU499" s="97"/>
      <c r="UIV499" s="97"/>
      <c r="UIW499" s="97"/>
      <c r="UIX499" s="97"/>
      <c r="UIY499" s="97"/>
      <c r="UJA499" s="94"/>
      <c r="UJB499" s="94"/>
      <c r="UJC499" s="95"/>
      <c r="UJD499" s="96"/>
      <c r="UJE499" s="97"/>
      <c r="UJF499" s="97"/>
      <c r="UJG499" s="97"/>
      <c r="UJH499" s="97"/>
      <c r="UJI499" s="97"/>
      <c r="UJJ499" s="97"/>
      <c r="UJK499" s="97"/>
      <c r="UJL499" s="97"/>
      <c r="UJN499" s="94"/>
      <c r="UJO499" s="94"/>
      <c r="UJP499" s="95"/>
      <c r="UJQ499" s="96"/>
      <c r="UJR499" s="97"/>
      <c r="UJS499" s="97"/>
      <c r="UJT499" s="97"/>
      <c r="UJU499" s="97"/>
      <c r="UJV499" s="97"/>
      <c r="UJW499" s="97"/>
      <c r="UJX499" s="97"/>
      <c r="UJY499" s="97"/>
      <c r="UKA499" s="94"/>
      <c r="UKB499" s="94"/>
      <c r="UKC499" s="95"/>
      <c r="UKD499" s="96"/>
      <c r="UKE499" s="97"/>
      <c r="UKF499" s="97"/>
      <c r="UKG499" s="97"/>
      <c r="UKH499" s="97"/>
      <c r="UKI499" s="97"/>
      <c r="UKJ499" s="97"/>
      <c r="UKK499" s="97"/>
      <c r="UKL499" s="97"/>
      <c r="UKN499" s="94"/>
      <c r="UKO499" s="94"/>
      <c r="UKP499" s="95"/>
      <c r="UKQ499" s="96"/>
      <c r="UKR499" s="97"/>
      <c r="UKS499" s="97"/>
      <c r="UKT499" s="97"/>
      <c r="UKU499" s="97"/>
      <c r="UKV499" s="97"/>
      <c r="UKW499" s="97"/>
      <c r="UKX499" s="97"/>
      <c r="UKY499" s="97"/>
      <c r="ULA499" s="94"/>
      <c r="ULB499" s="94"/>
      <c r="ULC499" s="95"/>
      <c r="ULD499" s="96"/>
      <c r="ULE499" s="97"/>
      <c r="ULF499" s="97"/>
      <c r="ULG499" s="97"/>
      <c r="ULH499" s="97"/>
      <c r="ULI499" s="97"/>
      <c r="ULJ499" s="97"/>
      <c r="ULK499" s="97"/>
      <c r="ULL499" s="97"/>
      <c r="ULN499" s="94"/>
      <c r="ULO499" s="94"/>
      <c r="ULP499" s="95"/>
      <c r="ULQ499" s="96"/>
      <c r="ULR499" s="97"/>
      <c r="ULS499" s="97"/>
      <c r="ULT499" s="97"/>
      <c r="ULU499" s="97"/>
      <c r="ULV499" s="97"/>
      <c r="ULW499" s="97"/>
      <c r="ULX499" s="97"/>
      <c r="ULY499" s="97"/>
      <c r="UMA499" s="94"/>
      <c r="UMB499" s="94"/>
      <c r="UMC499" s="95"/>
      <c r="UMD499" s="96"/>
      <c r="UME499" s="97"/>
      <c r="UMF499" s="97"/>
      <c r="UMG499" s="97"/>
      <c r="UMH499" s="97"/>
      <c r="UMI499" s="97"/>
      <c r="UMJ499" s="97"/>
      <c r="UMK499" s="97"/>
      <c r="UML499" s="97"/>
      <c r="UMN499" s="94"/>
      <c r="UMO499" s="94"/>
      <c r="UMP499" s="95"/>
      <c r="UMQ499" s="96"/>
      <c r="UMR499" s="97"/>
      <c r="UMS499" s="97"/>
      <c r="UMT499" s="97"/>
      <c r="UMU499" s="97"/>
      <c r="UMV499" s="97"/>
      <c r="UMW499" s="97"/>
      <c r="UMX499" s="97"/>
      <c r="UMY499" s="97"/>
      <c r="UNA499" s="94"/>
      <c r="UNB499" s="94"/>
      <c r="UNC499" s="95"/>
      <c r="UND499" s="96"/>
      <c r="UNE499" s="97"/>
      <c r="UNF499" s="97"/>
      <c r="UNG499" s="97"/>
      <c r="UNH499" s="97"/>
      <c r="UNI499" s="97"/>
      <c r="UNJ499" s="97"/>
      <c r="UNK499" s="97"/>
      <c r="UNL499" s="97"/>
      <c r="UNN499" s="94"/>
      <c r="UNO499" s="94"/>
      <c r="UNP499" s="95"/>
      <c r="UNQ499" s="96"/>
      <c r="UNR499" s="97"/>
      <c r="UNS499" s="97"/>
      <c r="UNT499" s="97"/>
      <c r="UNU499" s="97"/>
      <c r="UNV499" s="97"/>
      <c r="UNW499" s="97"/>
      <c r="UNX499" s="97"/>
      <c r="UNY499" s="97"/>
      <c r="UOA499" s="94"/>
      <c r="UOB499" s="94"/>
      <c r="UOC499" s="95"/>
      <c r="UOD499" s="96"/>
      <c r="UOE499" s="97"/>
      <c r="UOF499" s="97"/>
      <c r="UOG499" s="97"/>
      <c r="UOH499" s="97"/>
      <c r="UOI499" s="97"/>
      <c r="UOJ499" s="97"/>
      <c r="UOK499" s="97"/>
      <c r="UOL499" s="97"/>
      <c r="UON499" s="94"/>
      <c r="UOO499" s="94"/>
      <c r="UOP499" s="95"/>
      <c r="UOQ499" s="96"/>
      <c r="UOR499" s="97"/>
      <c r="UOS499" s="97"/>
      <c r="UOT499" s="97"/>
      <c r="UOU499" s="97"/>
      <c r="UOV499" s="97"/>
      <c r="UOW499" s="97"/>
      <c r="UOX499" s="97"/>
      <c r="UOY499" s="97"/>
      <c r="UPA499" s="94"/>
      <c r="UPB499" s="94"/>
      <c r="UPC499" s="95"/>
      <c r="UPD499" s="96"/>
      <c r="UPE499" s="97"/>
      <c r="UPF499" s="97"/>
      <c r="UPG499" s="97"/>
      <c r="UPH499" s="97"/>
      <c r="UPI499" s="97"/>
      <c r="UPJ499" s="97"/>
      <c r="UPK499" s="97"/>
      <c r="UPL499" s="97"/>
      <c r="UPN499" s="94"/>
      <c r="UPO499" s="94"/>
      <c r="UPP499" s="95"/>
      <c r="UPQ499" s="96"/>
      <c r="UPR499" s="97"/>
      <c r="UPS499" s="97"/>
      <c r="UPT499" s="97"/>
      <c r="UPU499" s="97"/>
      <c r="UPV499" s="97"/>
      <c r="UPW499" s="97"/>
      <c r="UPX499" s="97"/>
      <c r="UPY499" s="97"/>
      <c r="UQA499" s="94"/>
      <c r="UQB499" s="94"/>
      <c r="UQC499" s="95"/>
      <c r="UQD499" s="96"/>
      <c r="UQE499" s="97"/>
      <c r="UQF499" s="97"/>
      <c r="UQG499" s="97"/>
      <c r="UQH499" s="97"/>
      <c r="UQI499" s="97"/>
      <c r="UQJ499" s="97"/>
      <c r="UQK499" s="97"/>
      <c r="UQL499" s="97"/>
      <c r="UQN499" s="94"/>
      <c r="UQO499" s="94"/>
      <c r="UQP499" s="95"/>
      <c r="UQQ499" s="96"/>
      <c r="UQR499" s="97"/>
      <c r="UQS499" s="97"/>
      <c r="UQT499" s="97"/>
      <c r="UQU499" s="97"/>
      <c r="UQV499" s="97"/>
      <c r="UQW499" s="97"/>
      <c r="UQX499" s="97"/>
      <c r="UQY499" s="97"/>
      <c r="URA499" s="94"/>
      <c r="URB499" s="94"/>
      <c r="URC499" s="95"/>
      <c r="URD499" s="96"/>
      <c r="URE499" s="97"/>
      <c r="URF499" s="97"/>
      <c r="URG499" s="97"/>
      <c r="URH499" s="97"/>
      <c r="URI499" s="97"/>
      <c r="URJ499" s="97"/>
      <c r="URK499" s="97"/>
      <c r="URL499" s="97"/>
      <c r="URN499" s="94"/>
      <c r="URO499" s="94"/>
      <c r="URP499" s="95"/>
      <c r="URQ499" s="96"/>
      <c r="URR499" s="97"/>
      <c r="URS499" s="97"/>
      <c r="URT499" s="97"/>
      <c r="URU499" s="97"/>
      <c r="URV499" s="97"/>
      <c r="URW499" s="97"/>
      <c r="URX499" s="97"/>
      <c r="URY499" s="97"/>
      <c r="USA499" s="94"/>
      <c r="USB499" s="94"/>
      <c r="USC499" s="95"/>
      <c r="USD499" s="96"/>
      <c r="USE499" s="97"/>
      <c r="USF499" s="97"/>
      <c r="USG499" s="97"/>
      <c r="USH499" s="97"/>
      <c r="USI499" s="97"/>
      <c r="USJ499" s="97"/>
      <c r="USK499" s="97"/>
      <c r="USL499" s="97"/>
      <c r="USN499" s="94"/>
      <c r="USO499" s="94"/>
      <c r="USP499" s="95"/>
      <c r="USQ499" s="96"/>
      <c r="USR499" s="97"/>
      <c r="USS499" s="97"/>
      <c r="UST499" s="97"/>
      <c r="USU499" s="97"/>
      <c r="USV499" s="97"/>
      <c r="USW499" s="97"/>
      <c r="USX499" s="97"/>
      <c r="USY499" s="97"/>
      <c r="UTA499" s="94"/>
      <c r="UTB499" s="94"/>
      <c r="UTC499" s="95"/>
      <c r="UTD499" s="96"/>
      <c r="UTE499" s="97"/>
      <c r="UTF499" s="97"/>
      <c r="UTG499" s="97"/>
      <c r="UTH499" s="97"/>
      <c r="UTI499" s="97"/>
      <c r="UTJ499" s="97"/>
      <c r="UTK499" s="97"/>
      <c r="UTL499" s="97"/>
      <c r="UTN499" s="94"/>
      <c r="UTO499" s="94"/>
      <c r="UTP499" s="95"/>
      <c r="UTQ499" s="96"/>
      <c r="UTR499" s="97"/>
      <c r="UTS499" s="97"/>
      <c r="UTT499" s="97"/>
      <c r="UTU499" s="97"/>
      <c r="UTV499" s="97"/>
      <c r="UTW499" s="97"/>
      <c r="UTX499" s="97"/>
      <c r="UTY499" s="97"/>
      <c r="UUA499" s="94"/>
      <c r="UUB499" s="94"/>
      <c r="UUC499" s="95"/>
      <c r="UUD499" s="96"/>
      <c r="UUE499" s="97"/>
      <c r="UUF499" s="97"/>
      <c r="UUG499" s="97"/>
      <c r="UUH499" s="97"/>
      <c r="UUI499" s="97"/>
      <c r="UUJ499" s="97"/>
      <c r="UUK499" s="97"/>
      <c r="UUL499" s="97"/>
      <c r="UUN499" s="94"/>
      <c r="UUO499" s="94"/>
      <c r="UUP499" s="95"/>
      <c r="UUQ499" s="96"/>
      <c r="UUR499" s="97"/>
      <c r="UUS499" s="97"/>
      <c r="UUT499" s="97"/>
      <c r="UUU499" s="97"/>
      <c r="UUV499" s="97"/>
      <c r="UUW499" s="97"/>
      <c r="UUX499" s="97"/>
      <c r="UUY499" s="97"/>
      <c r="UVA499" s="94"/>
      <c r="UVB499" s="94"/>
      <c r="UVC499" s="95"/>
      <c r="UVD499" s="96"/>
      <c r="UVE499" s="97"/>
      <c r="UVF499" s="97"/>
      <c r="UVG499" s="97"/>
      <c r="UVH499" s="97"/>
      <c r="UVI499" s="97"/>
      <c r="UVJ499" s="97"/>
      <c r="UVK499" s="97"/>
      <c r="UVL499" s="97"/>
      <c r="UVN499" s="94"/>
      <c r="UVO499" s="94"/>
      <c r="UVP499" s="95"/>
      <c r="UVQ499" s="96"/>
      <c r="UVR499" s="97"/>
      <c r="UVS499" s="97"/>
      <c r="UVT499" s="97"/>
      <c r="UVU499" s="97"/>
      <c r="UVV499" s="97"/>
      <c r="UVW499" s="97"/>
      <c r="UVX499" s="97"/>
      <c r="UVY499" s="97"/>
      <c r="UWA499" s="94"/>
      <c r="UWB499" s="94"/>
      <c r="UWC499" s="95"/>
      <c r="UWD499" s="96"/>
      <c r="UWE499" s="97"/>
      <c r="UWF499" s="97"/>
      <c r="UWG499" s="97"/>
      <c r="UWH499" s="97"/>
      <c r="UWI499" s="97"/>
      <c r="UWJ499" s="97"/>
      <c r="UWK499" s="97"/>
      <c r="UWL499" s="97"/>
      <c r="UWN499" s="94"/>
      <c r="UWO499" s="94"/>
      <c r="UWP499" s="95"/>
      <c r="UWQ499" s="96"/>
      <c r="UWR499" s="97"/>
      <c r="UWS499" s="97"/>
      <c r="UWT499" s="97"/>
      <c r="UWU499" s="97"/>
      <c r="UWV499" s="97"/>
      <c r="UWW499" s="97"/>
      <c r="UWX499" s="97"/>
      <c r="UWY499" s="97"/>
      <c r="UXA499" s="94"/>
      <c r="UXB499" s="94"/>
      <c r="UXC499" s="95"/>
      <c r="UXD499" s="96"/>
      <c r="UXE499" s="97"/>
      <c r="UXF499" s="97"/>
      <c r="UXG499" s="97"/>
      <c r="UXH499" s="97"/>
      <c r="UXI499" s="97"/>
      <c r="UXJ499" s="97"/>
      <c r="UXK499" s="97"/>
      <c r="UXL499" s="97"/>
      <c r="UXN499" s="94"/>
      <c r="UXO499" s="94"/>
      <c r="UXP499" s="95"/>
      <c r="UXQ499" s="96"/>
      <c r="UXR499" s="97"/>
      <c r="UXS499" s="97"/>
      <c r="UXT499" s="97"/>
      <c r="UXU499" s="97"/>
      <c r="UXV499" s="97"/>
      <c r="UXW499" s="97"/>
      <c r="UXX499" s="97"/>
      <c r="UXY499" s="97"/>
      <c r="UYA499" s="94"/>
      <c r="UYB499" s="94"/>
      <c r="UYC499" s="95"/>
      <c r="UYD499" s="96"/>
      <c r="UYE499" s="97"/>
      <c r="UYF499" s="97"/>
      <c r="UYG499" s="97"/>
      <c r="UYH499" s="97"/>
      <c r="UYI499" s="97"/>
      <c r="UYJ499" s="97"/>
      <c r="UYK499" s="97"/>
      <c r="UYL499" s="97"/>
      <c r="UYN499" s="94"/>
      <c r="UYO499" s="94"/>
      <c r="UYP499" s="95"/>
      <c r="UYQ499" s="96"/>
      <c r="UYR499" s="97"/>
      <c r="UYS499" s="97"/>
      <c r="UYT499" s="97"/>
      <c r="UYU499" s="97"/>
      <c r="UYV499" s="97"/>
      <c r="UYW499" s="97"/>
      <c r="UYX499" s="97"/>
      <c r="UYY499" s="97"/>
      <c r="UZA499" s="94"/>
      <c r="UZB499" s="94"/>
      <c r="UZC499" s="95"/>
      <c r="UZD499" s="96"/>
      <c r="UZE499" s="97"/>
      <c r="UZF499" s="97"/>
      <c r="UZG499" s="97"/>
      <c r="UZH499" s="97"/>
      <c r="UZI499" s="97"/>
      <c r="UZJ499" s="97"/>
      <c r="UZK499" s="97"/>
      <c r="UZL499" s="97"/>
      <c r="UZN499" s="94"/>
      <c r="UZO499" s="94"/>
      <c r="UZP499" s="95"/>
      <c r="UZQ499" s="96"/>
      <c r="UZR499" s="97"/>
      <c r="UZS499" s="97"/>
      <c r="UZT499" s="97"/>
      <c r="UZU499" s="97"/>
      <c r="UZV499" s="97"/>
      <c r="UZW499" s="97"/>
      <c r="UZX499" s="97"/>
      <c r="UZY499" s="97"/>
      <c r="VAA499" s="94"/>
      <c r="VAB499" s="94"/>
      <c r="VAC499" s="95"/>
      <c r="VAD499" s="96"/>
      <c r="VAE499" s="97"/>
      <c r="VAF499" s="97"/>
      <c r="VAG499" s="97"/>
      <c r="VAH499" s="97"/>
      <c r="VAI499" s="97"/>
      <c r="VAJ499" s="97"/>
      <c r="VAK499" s="97"/>
      <c r="VAL499" s="97"/>
      <c r="VAN499" s="94"/>
      <c r="VAO499" s="94"/>
      <c r="VAP499" s="95"/>
      <c r="VAQ499" s="96"/>
      <c r="VAR499" s="97"/>
      <c r="VAS499" s="97"/>
      <c r="VAT499" s="97"/>
      <c r="VAU499" s="97"/>
      <c r="VAV499" s="97"/>
      <c r="VAW499" s="97"/>
      <c r="VAX499" s="97"/>
      <c r="VAY499" s="97"/>
      <c r="VBA499" s="94"/>
      <c r="VBB499" s="94"/>
      <c r="VBC499" s="95"/>
      <c r="VBD499" s="96"/>
      <c r="VBE499" s="97"/>
      <c r="VBF499" s="97"/>
      <c r="VBG499" s="97"/>
      <c r="VBH499" s="97"/>
      <c r="VBI499" s="97"/>
      <c r="VBJ499" s="97"/>
      <c r="VBK499" s="97"/>
      <c r="VBL499" s="97"/>
      <c r="VBN499" s="94"/>
      <c r="VBO499" s="94"/>
      <c r="VBP499" s="95"/>
      <c r="VBQ499" s="96"/>
      <c r="VBR499" s="97"/>
      <c r="VBS499" s="97"/>
      <c r="VBT499" s="97"/>
      <c r="VBU499" s="97"/>
      <c r="VBV499" s="97"/>
      <c r="VBW499" s="97"/>
      <c r="VBX499" s="97"/>
      <c r="VBY499" s="97"/>
      <c r="VCA499" s="94"/>
      <c r="VCB499" s="94"/>
      <c r="VCC499" s="95"/>
      <c r="VCD499" s="96"/>
      <c r="VCE499" s="97"/>
      <c r="VCF499" s="97"/>
      <c r="VCG499" s="97"/>
      <c r="VCH499" s="97"/>
      <c r="VCI499" s="97"/>
      <c r="VCJ499" s="97"/>
      <c r="VCK499" s="97"/>
      <c r="VCL499" s="97"/>
      <c r="VCN499" s="94"/>
      <c r="VCO499" s="94"/>
      <c r="VCP499" s="95"/>
      <c r="VCQ499" s="96"/>
      <c r="VCR499" s="97"/>
      <c r="VCS499" s="97"/>
      <c r="VCT499" s="97"/>
      <c r="VCU499" s="97"/>
      <c r="VCV499" s="97"/>
      <c r="VCW499" s="97"/>
      <c r="VCX499" s="97"/>
      <c r="VCY499" s="97"/>
      <c r="VDA499" s="94"/>
      <c r="VDB499" s="94"/>
      <c r="VDC499" s="95"/>
      <c r="VDD499" s="96"/>
      <c r="VDE499" s="97"/>
      <c r="VDF499" s="97"/>
      <c r="VDG499" s="97"/>
      <c r="VDH499" s="97"/>
      <c r="VDI499" s="97"/>
      <c r="VDJ499" s="97"/>
      <c r="VDK499" s="97"/>
      <c r="VDL499" s="97"/>
      <c r="VDN499" s="94"/>
      <c r="VDO499" s="94"/>
      <c r="VDP499" s="95"/>
      <c r="VDQ499" s="96"/>
      <c r="VDR499" s="97"/>
      <c r="VDS499" s="97"/>
      <c r="VDT499" s="97"/>
      <c r="VDU499" s="97"/>
      <c r="VDV499" s="97"/>
      <c r="VDW499" s="97"/>
      <c r="VDX499" s="97"/>
      <c r="VDY499" s="97"/>
      <c r="VEA499" s="94"/>
      <c r="VEB499" s="94"/>
      <c r="VEC499" s="95"/>
      <c r="VED499" s="96"/>
      <c r="VEE499" s="97"/>
      <c r="VEF499" s="97"/>
      <c r="VEG499" s="97"/>
      <c r="VEH499" s="97"/>
      <c r="VEI499" s="97"/>
      <c r="VEJ499" s="97"/>
      <c r="VEK499" s="97"/>
      <c r="VEL499" s="97"/>
      <c r="VEN499" s="94"/>
      <c r="VEO499" s="94"/>
      <c r="VEP499" s="95"/>
      <c r="VEQ499" s="96"/>
      <c r="VER499" s="97"/>
      <c r="VES499" s="97"/>
      <c r="VET499" s="97"/>
      <c r="VEU499" s="97"/>
      <c r="VEV499" s="97"/>
      <c r="VEW499" s="97"/>
      <c r="VEX499" s="97"/>
      <c r="VEY499" s="97"/>
      <c r="VFA499" s="94"/>
      <c r="VFB499" s="94"/>
      <c r="VFC499" s="95"/>
      <c r="VFD499" s="96"/>
      <c r="VFE499" s="97"/>
      <c r="VFF499" s="97"/>
      <c r="VFG499" s="97"/>
      <c r="VFH499" s="97"/>
      <c r="VFI499" s="97"/>
      <c r="VFJ499" s="97"/>
      <c r="VFK499" s="97"/>
      <c r="VFL499" s="97"/>
      <c r="VFN499" s="94"/>
      <c r="VFO499" s="94"/>
      <c r="VFP499" s="95"/>
      <c r="VFQ499" s="96"/>
      <c r="VFR499" s="97"/>
      <c r="VFS499" s="97"/>
      <c r="VFT499" s="97"/>
      <c r="VFU499" s="97"/>
      <c r="VFV499" s="97"/>
      <c r="VFW499" s="97"/>
      <c r="VFX499" s="97"/>
      <c r="VFY499" s="97"/>
      <c r="VGA499" s="94"/>
      <c r="VGB499" s="94"/>
      <c r="VGC499" s="95"/>
      <c r="VGD499" s="96"/>
      <c r="VGE499" s="97"/>
      <c r="VGF499" s="97"/>
      <c r="VGG499" s="97"/>
      <c r="VGH499" s="97"/>
      <c r="VGI499" s="97"/>
      <c r="VGJ499" s="97"/>
      <c r="VGK499" s="97"/>
      <c r="VGL499" s="97"/>
      <c r="VGN499" s="94"/>
      <c r="VGO499" s="94"/>
      <c r="VGP499" s="95"/>
      <c r="VGQ499" s="96"/>
      <c r="VGR499" s="97"/>
      <c r="VGS499" s="97"/>
      <c r="VGT499" s="97"/>
      <c r="VGU499" s="97"/>
      <c r="VGV499" s="97"/>
      <c r="VGW499" s="97"/>
      <c r="VGX499" s="97"/>
      <c r="VGY499" s="97"/>
      <c r="VHA499" s="94"/>
      <c r="VHB499" s="94"/>
      <c r="VHC499" s="95"/>
      <c r="VHD499" s="96"/>
      <c r="VHE499" s="97"/>
      <c r="VHF499" s="97"/>
      <c r="VHG499" s="97"/>
      <c r="VHH499" s="97"/>
      <c r="VHI499" s="97"/>
      <c r="VHJ499" s="97"/>
      <c r="VHK499" s="97"/>
      <c r="VHL499" s="97"/>
      <c r="VHN499" s="94"/>
      <c r="VHO499" s="94"/>
      <c r="VHP499" s="95"/>
      <c r="VHQ499" s="96"/>
      <c r="VHR499" s="97"/>
      <c r="VHS499" s="97"/>
      <c r="VHT499" s="97"/>
      <c r="VHU499" s="97"/>
      <c r="VHV499" s="97"/>
      <c r="VHW499" s="97"/>
      <c r="VHX499" s="97"/>
      <c r="VHY499" s="97"/>
      <c r="VIA499" s="94"/>
      <c r="VIB499" s="94"/>
      <c r="VIC499" s="95"/>
      <c r="VID499" s="96"/>
      <c r="VIE499" s="97"/>
      <c r="VIF499" s="97"/>
      <c r="VIG499" s="97"/>
      <c r="VIH499" s="97"/>
      <c r="VII499" s="97"/>
      <c r="VIJ499" s="97"/>
      <c r="VIK499" s="97"/>
      <c r="VIL499" s="97"/>
      <c r="VIN499" s="94"/>
      <c r="VIO499" s="94"/>
      <c r="VIP499" s="95"/>
      <c r="VIQ499" s="96"/>
      <c r="VIR499" s="97"/>
      <c r="VIS499" s="97"/>
      <c r="VIT499" s="97"/>
      <c r="VIU499" s="97"/>
      <c r="VIV499" s="97"/>
      <c r="VIW499" s="97"/>
      <c r="VIX499" s="97"/>
      <c r="VIY499" s="97"/>
      <c r="VJA499" s="94"/>
      <c r="VJB499" s="94"/>
      <c r="VJC499" s="95"/>
      <c r="VJD499" s="96"/>
      <c r="VJE499" s="97"/>
      <c r="VJF499" s="97"/>
      <c r="VJG499" s="97"/>
      <c r="VJH499" s="97"/>
      <c r="VJI499" s="97"/>
      <c r="VJJ499" s="97"/>
      <c r="VJK499" s="97"/>
      <c r="VJL499" s="97"/>
      <c r="VJN499" s="94"/>
      <c r="VJO499" s="94"/>
      <c r="VJP499" s="95"/>
      <c r="VJQ499" s="96"/>
      <c r="VJR499" s="97"/>
      <c r="VJS499" s="97"/>
      <c r="VJT499" s="97"/>
      <c r="VJU499" s="97"/>
      <c r="VJV499" s="97"/>
      <c r="VJW499" s="97"/>
      <c r="VJX499" s="97"/>
      <c r="VJY499" s="97"/>
      <c r="VKA499" s="94"/>
      <c r="VKB499" s="94"/>
      <c r="VKC499" s="95"/>
      <c r="VKD499" s="96"/>
      <c r="VKE499" s="97"/>
      <c r="VKF499" s="97"/>
      <c r="VKG499" s="97"/>
      <c r="VKH499" s="97"/>
      <c r="VKI499" s="97"/>
      <c r="VKJ499" s="97"/>
      <c r="VKK499" s="97"/>
      <c r="VKL499" s="97"/>
      <c r="VKN499" s="94"/>
      <c r="VKO499" s="94"/>
      <c r="VKP499" s="95"/>
      <c r="VKQ499" s="96"/>
      <c r="VKR499" s="97"/>
      <c r="VKS499" s="97"/>
      <c r="VKT499" s="97"/>
      <c r="VKU499" s="97"/>
      <c r="VKV499" s="97"/>
      <c r="VKW499" s="97"/>
      <c r="VKX499" s="97"/>
      <c r="VKY499" s="97"/>
      <c r="VLA499" s="94"/>
      <c r="VLB499" s="94"/>
      <c r="VLC499" s="95"/>
      <c r="VLD499" s="96"/>
      <c r="VLE499" s="97"/>
      <c r="VLF499" s="97"/>
      <c r="VLG499" s="97"/>
      <c r="VLH499" s="97"/>
      <c r="VLI499" s="97"/>
      <c r="VLJ499" s="97"/>
      <c r="VLK499" s="97"/>
      <c r="VLL499" s="97"/>
      <c r="VLN499" s="94"/>
      <c r="VLO499" s="94"/>
      <c r="VLP499" s="95"/>
      <c r="VLQ499" s="96"/>
      <c r="VLR499" s="97"/>
      <c r="VLS499" s="97"/>
      <c r="VLT499" s="97"/>
      <c r="VLU499" s="97"/>
      <c r="VLV499" s="97"/>
      <c r="VLW499" s="97"/>
      <c r="VLX499" s="97"/>
      <c r="VLY499" s="97"/>
      <c r="VMA499" s="94"/>
      <c r="VMB499" s="94"/>
      <c r="VMC499" s="95"/>
      <c r="VMD499" s="96"/>
      <c r="VME499" s="97"/>
      <c r="VMF499" s="97"/>
      <c r="VMG499" s="97"/>
      <c r="VMH499" s="97"/>
      <c r="VMI499" s="97"/>
      <c r="VMJ499" s="97"/>
      <c r="VMK499" s="97"/>
      <c r="VML499" s="97"/>
      <c r="VMN499" s="94"/>
      <c r="VMO499" s="94"/>
      <c r="VMP499" s="95"/>
      <c r="VMQ499" s="96"/>
      <c r="VMR499" s="97"/>
      <c r="VMS499" s="97"/>
      <c r="VMT499" s="97"/>
      <c r="VMU499" s="97"/>
      <c r="VMV499" s="97"/>
      <c r="VMW499" s="97"/>
      <c r="VMX499" s="97"/>
      <c r="VMY499" s="97"/>
      <c r="VNA499" s="94"/>
      <c r="VNB499" s="94"/>
      <c r="VNC499" s="95"/>
      <c r="VND499" s="96"/>
      <c r="VNE499" s="97"/>
      <c r="VNF499" s="97"/>
      <c r="VNG499" s="97"/>
      <c r="VNH499" s="97"/>
      <c r="VNI499" s="97"/>
      <c r="VNJ499" s="97"/>
      <c r="VNK499" s="97"/>
      <c r="VNL499" s="97"/>
      <c r="VNN499" s="94"/>
      <c r="VNO499" s="94"/>
      <c r="VNP499" s="95"/>
      <c r="VNQ499" s="96"/>
      <c r="VNR499" s="97"/>
      <c r="VNS499" s="97"/>
      <c r="VNT499" s="97"/>
      <c r="VNU499" s="97"/>
      <c r="VNV499" s="97"/>
      <c r="VNW499" s="97"/>
      <c r="VNX499" s="97"/>
      <c r="VNY499" s="97"/>
      <c r="VOA499" s="94"/>
      <c r="VOB499" s="94"/>
      <c r="VOC499" s="95"/>
      <c r="VOD499" s="96"/>
      <c r="VOE499" s="97"/>
      <c r="VOF499" s="97"/>
      <c r="VOG499" s="97"/>
      <c r="VOH499" s="97"/>
      <c r="VOI499" s="97"/>
      <c r="VOJ499" s="97"/>
      <c r="VOK499" s="97"/>
      <c r="VOL499" s="97"/>
      <c r="VON499" s="94"/>
      <c r="VOO499" s="94"/>
      <c r="VOP499" s="95"/>
      <c r="VOQ499" s="96"/>
      <c r="VOR499" s="97"/>
      <c r="VOS499" s="97"/>
      <c r="VOT499" s="97"/>
      <c r="VOU499" s="97"/>
      <c r="VOV499" s="97"/>
      <c r="VOW499" s="97"/>
      <c r="VOX499" s="97"/>
      <c r="VOY499" s="97"/>
      <c r="VPA499" s="94"/>
      <c r="VPB499" s="94"/>
      <c r="VPC499" s="95"/>
      <c r="VPD499" s="96"/>
      <c r="VPE499" s="97"/>
      <c r="VPF499" s="97"/>
      <c r="VPG499" s="97"/>
      <c r="VPH499" s="97"/>
      <c r="VPI499" s="97"/>
      <c r="VPJ499" s="97"/>
      <c r="VPK499" s="97"/>
      <c r="VPL499" s="97"/>
      <c r="VPN499" s="94"/>
      <c r="VPO499" s="94"/>
      <c r="VPP499" s="95"/>
      <c r="VPQ499" s="96"/>
      <c r="VPR499" s="97"/>
      <c r="VPS499" s="97"/>
      <c r="VPT499" s="97"/>
      <c r="VPU499" s="97"/>
      <c r="VPV499" s="97"/>
      <c r="VPW499" s="97"/>
      <c r="VPX499" s="97"/>
      <c r="VPY499" s="97"/>
      <c r="VQA499" s="94"/>
      <c r="VQB499" s="94"/>
      <c r="VQC499" s="95"/>
      <c r="VQD499" s="96"/>
      <c r="VQE499" s="97"/>
      <c r="VQF499" s="97"/>
      <c r="VQG499" s="97"/>
      <c r="VQH499" s="97"/>
      <c r="VQI499" s="97"/>
      <c r="VQJ499" s="97"/>
      <c r="VQK499" s="97"/>
      <c r="VQL499" s="97"/>
      <c r="VQN499" s="94"/>
      <c r="VQO499" s="94"/>
      <c r="VQP499" s="95"/>
      <c r="VQQ499" s="96"/>
      <c r="VQR499" s="97"/>
      <c r="VQS499" s="97"/>
      <c r="VQT499" s="97"/>
      <c r="VQU499" s="97"/>
      <c r="VQV499" s="97"/>
      <c r="VQW499" s="97"/>
      <c r="VQX499" s="97"/>
      <c r="VQY499" s="97"/>
      <c r="VRA499" s="94"/>
      <c r="VRB499" s="94"/>
      <c r="VRC499" s="95"/>
      <c r="VRD499" s="96"/>
      <c r="VRE499" s="97"/>
      <c r="VRF499" s="97"/>
      <c r="VRG499" s="97"/>
      <c r="VRH499" s="97"/>
      <c r="VRI499" s="97"/>
      <c r="VRJ499" s="97"/>
      <c r="VRK499" s="97"/>
      <c r="VRL499" s="97"/>
      <c r="VRN499" s="94"/>
      <c r="VRO499" s="94"/>
      <c r="VRP499" s="95"/>
      <c r="VRQ499" s="96"/>
      <c r="VRR499" s="97"/>
      <c r="VRS499" s="97"/>
      <c r="VRT499" s="97"/>
      <c r="VRU499" s="97"/>
      <c r="VRV499" s="97"/>
      <c r="VRW499" s="97"/>
      <c r="VRX499" s="97"/>
      <c r="VRY499" s="97"/>
      <c r="VSA499" s="94"/>
      <c r="VSB499" s="94"/>
      <c r="VSC499" s="95"/>
      <c r="VSD499" s="96"/>
      <c r="VSE499" s="97"/>
      <c r="VSF499" s="97"/>
      <c r="VSG499" s="97"/>
      <c r="VSH499" s="97"/>
      <c r="VSI499" s="97"/>
      <c r="VSJ499" s="97"/>
      <c r="VSK499" s="97"/>
      <c r="VSL499" s="97"/>
      <c r="VSN499" s="94"/>
      <c r="VSO499" s="94"/>
      <c r="VSP499" s="95"/>
      <c r="VSQ499" s="96"/>
      <c r="VSR499" s="97"/>
      <c r="VSS499" s="97"/>
      <c r="VST499" s="97"/>
      <c r="VSU499" s="97"/>
      <c r="VSV499" s="97"/>
      <c r="VSW499" s="97"/>
      <c r="VSX499" s="97"/>
      <c r="VSY499" s="97"/>
      <c r="VTA499" s="94"/>
      <c r="VTB499" s="94"/>
      <c r="VTC499" s="95"/>
      <c r="VTD499" s="96"/>
      <c r="VTE499" s="97"/>
      <c r="VTF499" s="97"/>
      <c r="VTG499" s="97"/>
      <c r="VTH499" s="97"/>
      <c r="VTI499" s="97"/>
      <c r="VTJ499" s="97"/>
      <c r="VTK499" s="97"/>
      <c r="VTL499" s="97"/>
      <c r="VTN499" s="94"/>
      <c r="VTO499" s="94"/>
      <c r="VTP499" s="95"/>
      <c r="VTQ499" s="96"/>
      <c r="VTR499" s="97"/>
      <c r="VTS499" s="97"/>
      <c r="VTT499" s="97"/>
      <c r="VTU499" s="97"/>
      <c r="VTV499" s="97"/>
      <c r="VTW499" s="97"/>
      <c r="VTX499" s="97"/>
      <c r="VTY499" s="97"/>
      <c r="VUA499" s="94"/>
      <c r="VUB499" s="94"/>
      <c r="VUC499" s="95"/>
      <c r="VUD499" s="96"/>
      <c r="VUE499" s="97"/>
      <c r="VUF499" s="97"/>
      <c r="VUG499" s="97"/>
      <c r="VUH499" s="97"/>
      <c r="VUI499" s="97"/>
      <c r="VUJ499" s="97"/>
      <c r="VUK499" s="97"/>
      <c r="VUL499" s="97"/>
      <c r="VUN499" s="94"/>
      <c r="VUO499" s="94"/>
      <c r="VUP499" s="95"/>
      <c r="VUQ499" s="96"/>
      <c r="VUR499" s="97"/>
      <c r="VUS499" s="97"/>
      <c r="VUT499" s="97"/>
      <c r="VUU499" s="97"/>
      <c r="VUV499" s="97"/>
      <c r="VUW499" s="97"/>
      <c r="VUX499" s="97"/>
      <c r="VUY499" s="97"/>
      <c r="VVA499" s="94"/>
      <c r="VVB499" s="94"/>
      <c r="VVC499" s="95"/>
      <c r="VVD499" s="96"/>
      <c r="VVE499" s="97"/>
      <c r="VVF499" s="97"/>
      <c r="VVG499" s="97"/>
      <c r="VVH499" s="97"/>
      <c r="VVI499" s="97"/>
      <c r="VVJ499" s="97"/>
      <c r="VVK499" s="97"/>
      <c r="VVL499" s="97"/>
      <c r="VVN499" s="94"/>
      <c r="VVO499" s="94"/>
      <c r="VVP499" s="95"/>
      <c r="VVQ499" s="96"/>
      <c r="VVR499" s="97"/>
      <c r="VVS499" s="97"/>
      <c r="VVT499" s="97"/>
      <c r="VVU499" s="97"/>
      <c r="VVV499" s="97"/>
      <c r="VVW499" s="97"/>
      <c r="VVX499" s="97"/>
      <c r="VVY499" s="97"/>
      <c r="VWA499" s="94"/>
      <c r="VWB499" s="94"/>
      <c r="VWC499" s="95"/>
      <c r="VWD499" s="96"/>
      <c r="VWE499" s="97"/>
      <c r="VWF499" s="97"/>
      <c r="VWG499" s="97"/>
      <c r="VWH499" s="97"/>
      <c r="VWI499" s="97"/>
      <c r="VWJ499" s="97"/>
      <c r="VWK499" s="97"/>
      <c r="VWL499" s="97"/>
      <c r="VWN499" s="94"/>
      <c r="VWO499" s="94"/>
      <c r="VWP499" s="95"/>
      <c r="VWQ499" s="96"/>
      <c r="VWR499" s="97"/>
      <c r="VWS499" s="97"/>
      <c r="VWT499" s="97"/>
      <c r="VWU499" s="97"/>
      <c r="VWV499" s="97"/>
      <c r="VWW499" s="97"/>
      <c r="VWX499" s="97"/>
      <c r="VWY499" s="97"/>
      <c r="VXA499" s="94"/>
      <c r="VXB499" s="94"/>
      <c r="VXC499" s="95"/>
      <c r="VXD499" s="96"/>
      <c r="VXE499" s="97"/>
      <c r="VXF499" s="97"/>
      <c r="VXG499" s="97"/>
      <c r="VXH499" s="97"/>
      <c r="VXI499" s="97"/>
      <c r="VXJ499" s="97"/>
      <c r="VXK499" s="97"/>
      <c r="VXL499" s="97"/>
      <c r="VXN499" s="94"/>
      <c r="VXO499" s="94"/>
      <c r="VXP499" s="95"/>
      <c r="VXQ499" s="96"/>
      <c r="VXR499" s="97"/>
      <c r="VXS499" s="97"/>
      <c r="VXT499" s="97"/>
      <c r="VXU499" s="97"/>
      <c r="VXV499" s="97"/>
      <c r="VXW499" s="97"/>
      <c r="VXX499" s="97"/>
      <c r="VXY499" s="97"/>
      <c r="VYA499" s="94"/>
      <c r="VYB499" s="94"/>
      <c r="VYC499" s="95"/>
      <c r="VYD499" s="96"/>
      <c r="VYE499" s="97"/>
      <c r="VYF499" s="97"/>
      <c r="VYG499" s="97"/>
      <c r="VYH499" s="97"/>
      <c r="VYI499" s="97"/>
      <c r="VYJ499" s="97"/>
      <c r="VYK499" s="97"/>
      <c r="VYL499" s="97"/>
      <c r="VYN499" s="94"/>
      <c r="VYO499" s="94"/>
      <c r="VYP499" s="95"/>
      <c r="VYQ499" s="96"/>
      <c r="VYR499" s="97"/>
      <c r="VYS499" s="97"/>
      <c r="VYT499" s="97"/>
      <c r="VYU499" s="97"/>
      <c r="VYV499" s="97"/>
      <c r="VYW499" s="97"/>
      <c r="VYX499" s="97"/>
      <c r="VYY499" s="97"/>
      <c r="VZA499" s="94"/>
      <c r="VZB499" s="94"/>
      <c r="VZC499" s="95"/>
      <c r="VZD499" s="96"/>
      <c r="VZE499" s="97"/>
      <c r="VZF499" s="97"/>
      <c r="VZG499" s="97"/>
      <c r="VZH499" s="97"/>
      <c r="VZI499" s="97"/>
      <c r="VZJ499" s="97"/>
      <c r="VZK499" s="97"/>
      <c r="VZL499" s="97"/>
      <c r="VZN499" s="94"/>
      <c r="VZO499" s="94"/>
      <c r="VZP499" s="95"/>
      <c r="VZQ499" s="96"/>
      <c r="VZR499" s="97"/>
      <c r="VZS499" s="97"/>
      <c r="VZT499" s="97"/>
      <c r="VZU499" s="97"/>
      <c r="VZV499" s="97"/>
      <c r="VZW499" s="97"/>
      <c r="VZX499" s="97"/>
      <c r="VZY499" s="97"/>
      <c r="WAA499" s="94"/>
      <c r="WAB499" s="94"/>
      <c r="WAC499" s="95"/>
      <c r="WAD499" s="96"/>
      <c r="WAE499" s="97"/>
      <c r="WAF499" s="97"/>
      <c r="WAG499" s="97"/>
      <c r="WAH499" s="97"/>
      <c r="WAI499" s="97"/>
      <c r="WAJ499" s="97"/>
      <c r="WAK499" s="97"/>
      <c r="WAL499" s="97"/>
      <c r="WAN499" s="94"/>
      <c r="WAO499" s="94"/>
      <c r="WAP499" s="95"/>
      <c r="WAQ499" s="96"/>
      <c r="WAR499" s="97"/>
      <c r="WAS499" s="97"/>
      <c r="WAT499" s="97"/>
      <c r="WAU499" s="97"/>
      <c r="WAV499" s="97"/>
      <c r="WAW499" s="97"/>
      <c r="WAX499" s="97"/>
      <c r="WAY499" s="97"/>
      <c r="WBA499" s="94"/>
      <c r="WBB499" s="94"/>
      <c r="WBC499" s="95"/>
      <c r="WBD499" s="96"/>
      <c r="WBE499" s="97"/>
      <c r="WBF499" s="97"/>
      <c r="WBG499" s="97"/>
      <c r="WBH499" s="97"/>
      <c r="WBI499" s="97"/>
      <c r="WBJ499" s="97"/>
      <c r="WBK499" s="97"/>
      <c r="WBL499" s="97"/>
      <c r="WBN499" s="94"/>
      <c r="WBO499" s="94"/>
      <c r="WBP499" s="95"/>
      <c r="WBQ499" s="96"/>
      <c r="WBR499" s="97"/>
      <c r="WBS499" s="97"/>
      <c r="WBT499" s="97"/>
      <c r="WBU499" s="97"/>
      <c r="WBV499" s="97"/>
      <c r="WBW499" s="97"/>
      <c r="WBX499" s="97"/>
      <c r="WBY499" s="97"/>
      <c r="WCA499" s="94"/>
      <c r="WCB499" s="94"/>
      <c r="WCC499" s="95"/>
      <c r="WCD499" s="96"/>
      <c r="WCE499" s="97"/>
      <c r="WCF499" s="97"/>
      <c r="WCG499" s="97"/>
      <c r="WCH499" s="97"/>
      <c r="WCI499" s="97"/>
      <c r="WCJ499" s="97"/>
      <c r="WCK499" s="97"/>
      <c r="WCL499" s="97"/>
      <c r="WCN499" s="94"/>
      <c r="WCO499" s="94"/>
      <c r="WCP499" s="95"/>
      <c r="WCQ499" s="96"/>
      <c r="WCR499" s="97"/>
      <c r="WCS499" s="97"/>
      <c r="WCT499" s="97"/>
      <c r="WCU499" s="97"/>
      <c r="WCV499" s="97"/>
      <c r="WCW499" s="97"/>
      <c r="WCX499" s="97"/>
      <c r="WCY499" s="97"/>
      <c r="WDA499" s="94"/>
      <c r="WDB499" s="94"/>
      <c r="WDC499" s="95"/>
      <c r="WDD499" s="96"/>
      <c r="WDE499" s="97"/>
      <c r="WDF499" s="97"/>
      <c r="WDG499" s="97"/>
      <c r="WDH499" s="97"/>
      <c r="WDI499" s="97"/>
      <c r="WDJ499" s="97"/>
      <c r="WDK499" s="97"/>
      <c r="WDL499" s="97"/>
      <c r="WDN499" s="94"/>
      <c r="WDO499" s="94"/>
      <c r="WDP499" s="95"/>
      <c r="WDQ499" s="96"/>
      <c r="WDR499" s="97"/>
      <c r="WDS499" s="97"/>
      <c r="WDT499" s="97"/>
      <c r="WDU499" s="97"/>
      <c r="WDV499" s="97"/>
      <c r="WDW499" s="97"/>
      <c r="WDX499" s="97"/>
      <c r="WDY499" s="97"/>
      <c r="WEA499" s="94"/>
      <c r="WEB499" s="94"/>
      <c r="WEC499" s="95"/>
      <c r="WED499" s="96"/>
      <c r="WEE499" s="97"/>
      <c r="WEF499" s="97"/>
      <c r="WEG499" s="97"/>
      <c r="WEH499" s="97"/>
      <c r="WEI499" s="97"/>
      <c r="WEJ499" s="97"/>
      <c r="WEK499" s="97"/>
      <c r="WEL499" s="97"/>
      <c r="WEN499" s="94"/>
      <c r="WEO499" s="94"/>
      <c r="WEP499" s="95"/>
      <c r="WEQ499" s="96"/>
      <c r="WER499" s="97"/>
      <c r="WES499" s="97"/>
      <c r="WET499" s="97"/>
      <c r="WEU499" s="97"/>
      <c r="WEV499" s="97"/>
      <c r="WEW499" s="97"/>
      <c r="WEX499" s="97"/>
      <c r="WEY499" s="97"/>
      <c r="WFA499" s="94"/>
      <c r="WFB499" s="94"/>
      <c r="WFC499" s="95"/>
      <c r="WFD499" s="96"/>
      <c r="WFE499" s="97"/>
      <c r="WFF499" s="97"/>
      <c r="WFG499" s="97"/>
      <c r="WFH499" s="97"/>
      <c r="WFI499" s="97"/>
      <c r="WFJ499" s="97"/>
      <c r="WFK499" s="97"/>
      <c r="WFL499" s="97"/>
      <c r="WFN499" s="94"/>
      <c r="WFO499" s="94"/>
      <c r="WFP499" s="95"/>
      <c r="WFQ499" s="96"/>
      <c r="WFR499" s="97"/>
      <c r="WFS499" s="97"/>
      <c r="WFT499" s="97"/>
      <c r="WFU499" s="97"/>
      <c r="WFV499" s="97"/>
      <c r="WFW499" s="97"/>
      <c r="WFX499" s="97"/>
      <c r="WFY499" s="97"/>
      <c r="WGA499" s="94"/>
      <c r="WGB499" s="94"/>
      <c r="WGC499" s="95"/>
      <c r="WGD499" s="96"/>
      <c r="WGE499" s="97"/>
      <c r="WGF499" s="97"/>
      <c r="WGG499" s="97"/>
      <c r="WGH499" s="97"/>
      <c r="WGI499" s="97"/>
      <c r="WGJ499" s="97"/>
      <c r="WGK499" s="97"/>
      <c r="WGL499" s="97"/>
      <c r="WGN499" s="94"/>
      <c r="WGO499" s="94"/>
      <c r="WGP499" s="95"/>
      <c r="WGQ499" s="96"/>
      <c r="WGR499" s="97"/>
      <c r="WGS499" s="97"/>
      <c r="WGT499" s="97"/>
      <c r="WGU499" s="97"/>
      <c r="WGV499" s="97"/>
      <c r="WGW499" s="97"/>
      <c r="WGX499" s="97"/>
      <c r="WGY499" s="97"/>
      <c r="WHA499" s="94"/>
      <c r="WHB499" s="94"/>
      <c r="WHC499" s="95"/>
      <c r="WHD499" s="96"/>
      <c r="WHE499" s="97"/>
      <c r="WHF499" s="97"/>
      <c r="WHG499" s="97"/>
      <c r="WHH499" s="97"/>
      <c r="WHI499" s="97"/>
      <c r="WHJ499" s="97"/>
      <c r="WHK499" s="97"/>
      <c r="WHL499" s="97"/>
      <c r="WHN499" s="94"/>
      <c r="WHO499" s="94"/>
      <c r="WHP499" s="95"/>
      <c r="WHQ499" s="96"/>
      <c r="WHR499" s="97"/>
      <c r="WHS499" s="97"/>
      <c r="WHT499" s="97"/>
      <c r="WHU499" s="97"/>
      <c r="WHV499" s="97"/>
      <c r="WHW499" s="97"/>
      <c r="WHX499" s="97"/>
      <c r="WHY499" s="97"/>
      <c r="WIA499" s="94"/>
      <c r="WIB499" s="94"/>
      <c r="WIC499" s="95"/>
      <c r="WID499" s="96"/>
      <c r="WIE499" s="97"/>
      <c r="WIF499" s="97"/>
      <c r="WIG499" s="97"/>
      <c r="WIH499" s="97"/>
      <c r="WII499" s="97"/>
      <c r="WIJ499" s="97"/>
      <c r="WIK499" s="97"/>
      <c r="WIL499" s="97"/>
      <c r="WIN499" s="94"/>
      <c r="WIO499" s="94"/>
      <c r="WIP499" s="95"/>
      <c r="WIQ499" s="96"/>
      <c r="WIR499" s="97"/>
      <c r="WIS499" s="97"/>
      <c r="WIT499" s="97"/>
      <c r="WIU499" s="97"/>
      <c r="WIV499" s="97"/>
      <c r="WIW499" s="97"/>
      <c r="WIX499" s="97"/>
      <c r="WIY499" s="97"/>
      <c r="WJA499" s="94"/>
      <c r="WJB499" s="94"/>
      <c r="WJC499" s="95"/>
      <c r="WJD499" s="96"/>
      <c r="WJE499" s="97"/>
      <c r="WJF499" s="97"/>
      <c r="WJG499" s="97"/>
      <c r="WJH499" s="97"/>
      <c r="WJI499" s="97"/>
      <c r="WJJ499" s="97"/>
      <c r="WJK499" s="97"/>
      <c r="WJL499" s="97"/>
      <c r="WJN499" s="94"/>
      <c r="WJO499" s="94"/>
      <c r="WJP499" s="95"/>
      <c r="WJQ499" s="96"/>
      <c r="WJR499" s="97"/>
      <c r="WJS499" s="97"/>
      <c r="WJT499" s="97"/>
      <c r="WJU499" s="97"/>
      <c r="WJV499" s="97"/>
      <c r="WJW499" s="97"/>
      <c r="WJX499" s="97"/>
      <c r="WJY499" s="97"/>
      <c r="WKA499" s="94"/>
      <c r="WKB499" s="94"/>
      <c r="WKC499" s="95"/>
      <c r="WKD499" s="96"/>
      <c r="WKE499" s="97"/>
      <c r="WKF499" s="97"/>
      <c r="WKG499" s="97"/>
      <c r="WKH499" s="97"/>
      <c r="WKI499" s="97"/>
      <c r="WKJ499" s="97"/>
      <c r="WKK499" s="97"/>
      <c r="WKL499" s="97"/>
      <c r="WKN499" s="94"/>
      <c r="WKO499" s="94"/>
      <c r="WKP499" s="95"/>
      <c r="WKQ499" s="96"/>
      <c r="WKR499" s="97"/>
      <c r="WKS499" s="97"/>
      <c r="WKT499" s="97"/>
      <c r="WKU499" s="97"/>
      <c r="WKV499" s="97"/>
      <c r="WKW499" s="97"/>
      <c r="WKX499" s="97"/>
      <c r="WKY499" s="97"/>
      <c r="WLA499" s="94"/>
      <c r="WLB499" s="94"/>
      <c r="WLC499" s="95"/>
      <c r="WLD499" s="96"/>
      <c r="WLE499" s="97"/>
      <c r="WLF499" s="97"/>
      <c r="WLG499" s="97"/>
      <c r="WLH499" s="97"/>
      <c r="WLI499" s="97"/>
      <c r="WLJ499" s="97"/>
      <c r="WLK499" s="97"/>
      <c r="WLL499" s="97"/>
      <c r="WLN499" s="94"/>
      <c r="WLO499" s="94"/>
      <c r="WLP499" s="95"/>
      <c r="WLQ499" s="96"/>
      <c r="WLR499" s="97"/>
      <c r="WLS499" s="97"/>
      <c r="WLT499" s="97"/>
      <c r="WLU499" s="97"/>
      <c r="WLV499" s="97"/>
      <c r="WLW499" s="97"/>
      <c r="WLX499" s="97"/>
      <c r="WLY499" s="97"/>
      <c r="WMA499" s="94"/>
      <c r="WMB499" s="94"/>
      <c r="WMC499" s="95"/>
      <c r="WMD499" s="96"/>
      <c r="WME499" s="97"/>
      <c r="WMF499" s="97"/>
      <c r="WMG499" s="97"/>
      <c r="WMH499" s="97"/>
      <c r="WMI499" s="97"/>
      <c r="WMJ499" s="97"/>
      <c r="WMK499" s="97"/>
      <c r="WML499" s="97"/>
      <c r="WMN499" s="94"/>
      <c r="WMO499" s="94"/>
      <c r="WMP499" s="95"/>
      <c r="WMQ499" s="96"/>
      <c r="WMR499" s="97"/>
      <c r="WMS499" s="97"/>
      <c r="WMT499" s="97"/>
      <c r="WMU499" s="97"/>
      <c r="WMV499" s="97"/>
      <c r="WMW499" s="97"/>
      <c r="WMX499" s="97"/>
      <c r="WMY499" s="97"/>
      <c r="WNA499" s="94"/>
      <c r="WNB499" s="94"/>
      <c r="WNC499" s="95"/>
      <c r="WND499" s="96"/>
      <c r="WNE499" s="97"/>
      <c r="WNF499" s="97"/>
      <c r="WNG499" s="97"/>
      <c r="WNH499" s="97"/>
      <c r="WNI499" s="97"/>
      <c r="WNJ499" s="97"/>
      <c r="WNK499" s="97"/>
      <c r="WNL499" s="97"/>
      <c r="WNN499" s="94"/>
      <c r="WNO499" s="94"/>
      <c r="WNP499" s="95"/>
      <c r="WNQ499" s="96"/>
      <c r="WNR499" s="97"/>
      <c r="WNS499" s="97"/>
      <c r="WNT499" s="97"/>
      <c r="WNU499" s="97"/>
      <c r="WNV499" s="97"/>
      <c r="WNW499" s="97"/>
      <c r="WNX499" s="97"/>
      <c r="WNY499" s="97"/>
      <c r="WOA499" s="94"/>
      <c r="WOB499" s="94"/>
      <c r="WOC499" s="95"/>
      <c r="WOD499" s="96"/>
      <c r="WOE499" s="97"/>
      <c r="WOF499" s="97"/>
      <c r="WOG499" s="97"/>
      <c r="WOH499" s="97"/>
      <c r="WOI499" s="97"/>
      <c r="WOJ499" s="97"/>
      <c r="WOK499" s="97"/>
      <c r="WOL499" s="97"/>
      <c r="WON499" s="94"/>
      <c r="WOO499" s="94"/>
      <c r="WOP499" s="95"/>
      <c r="WOQ499" s="96"/>
      <c r="WOR499" s="97"/>
      <c r="WOS499" s="97"/>
      <c r="WOT499" s="97"/>
      <c r="WOU499" s="97"/>
      <c r="WOV499" s="97"/>
      <c r="WOW499" s="97"/>
      <c r="WOX499" s="97"/>
      <c r="WOY499" s="97"/>
      <c r="WPA499" s="94"/>
      <c r="WPB499" s="94"/>
      <c r="WPC499" s="95"/>
      <c r="WPD499" s="96"/>
      <c r="WPE499" s="97"/>
      <c r="WPF499" s="97"/>
      <c r="WPG499" s="97"/>
      <c r="WPH499" s="97"/>
      <c r="WPI499" s="97"/>
      <c r="WPJ499" s="97"/>
      <c r="WPK499" s="97"/>
      <c r="WPL499" s="97"/>
      <c r="WPN499" s="94"/>
      <c r="WPO499" s="94"/>
      <c r="WPP499" s="95"/>
      <c r="WPQ499" s="96"/>
      <c r="WPR499" s="97"/>
      <c r="WPS499" s="97"/>
      <c r="WPT499" s="97"/>
      <c r="WPU499" s="97"/>
      <c r="WPV499" s="97"/>
      <c r="WPW499" s="97"/>
      <c r="WPX499" s="97"/>
      <c r="WPY499" s="97"/>
      <c r="WQA499" s="94"/>
      <c r="WQB499" s="94"/>
      <c r="WQC499" s="95"/>
      <c r="WQD499" s="96"/>
      <c r="WQE499" s="97"/>
      <c r="WQF499" s="97"/>
      <c r="WQG499" s="97"/>
      <c r="WQH499" s="97"/>
      <c r="WQI499" s="97"/>
      <c r="WQJ499" s="97"/>
      <c r="WQK499" s="97"/>
      <c r="WQL499" s="97"/>
      <c r="WQN499" s="94"/>
      <c r="WQO499" s="94"/>
      <c r="WQP499" s="95"/>
      <c r="WQQ499" s="96"/>
      <c r="WQR499" s="97"/>
      <c r="WQS499" s="97"/>
      <c r="WQT499" s="97"/>
      <c r="WQU499" s="97"/>
      <c r="WQV499" s="97"/>
      <c r="WQW499" s="97"/>
      <c r="WQX499" s="97"/>
      <c r="WQY499" s="97"/>
      <c r="WRA499" s="94"/>
      <c r="WRB499" s="94"/>
      <c r="WRC499" s="95"/>
      <c r="WRD499" s="96"/>
      <c r="WRE499" s="97"/>
      <c r="WRF499" s="97"/>
      <c r="WRG499" s="97"/>
      <c r="WRH499" s="97"/>
      <c r="WRI499" s="97"/>
      <c r="WRJ499" s="97"/>
      <c r="WRK499" s="97"/>
      <c r="WRL499" s="97"/>
      <c r="WRN499" s="94"/>
      <c r="WRO499" s="94"/>
      <c r="WRP499" s="95"/>
      <c r="WRQ499" s="96"/>
      <c r="WRR499" s="97"/>
      <c r="WRS499" s="97"/>
      <c r="WRT499" s="97"/>
      <c r="WRU499" s="97"/>
      <c r="WRV499" s="97"/>
      <c r="WRW499" s="97"/>
      <c r="WRX499" s="97"/>
      <c r="WRY499" s="97"/>
      <c r="WSA499" s="94"/>
      <c r="WSB499" s="94"/>
      <c r="WSC499" s="95"/>
      <c r="WSD499" s="96"/>
      <c r="WSE499" s="97"/>
      <c r="WSF499" s="97"/>
      <c r="WSG499" s="97"/>
      <c r="WSH499" s="97"/>
      <c r="WSI499" s="97"/>
      <c r="WSJ499" s="97"/>
      <c r="WSK499" s="97"/>
      <c r="WSL499" s="97"/>
      <c r="WSN499" s="94"/>
      <c r="WSO499" s="94"/>
      <c r="WSP499" s="95"/>
      <c r="WSQ499" s="96"/>
      <c r="WSR499" s="97"/>
      <c r="WSS499" s="97"/>
      <c r="WST499" s="97"/>
      <c r="WSU499" s="97"/>
      <c r="WSV499" s="97"/>
      <c r="WSW499" s="97"/>
      <c r="WSX499" s="97"/>
      <c r="WSY499" s="97"/>
      <c r="WTA499" s="94"/>
      <c r="WTB499" s="94"/>
      <c r="WTC499" s="95"/>
      <c r="WTD499" s="96"/>
      <c r="WTE499" s="97"/>
      <c r="WTF499" s="97"/>
      <c r="WTG499" s="97"/>
      <c r="WTH499" s="97"/>
      <c r="WTI499" s="97"/>
      <c r="WTJ499" s="97"/>
      <c r="WTK499" s="97"/>
      <c r="WTL499" s="97"/>
      <c r="WTN499" s="94"/>
      <c r="WTO499" s="94"/>
      <c r="WTP499" s="95"/>
      <c r="WTQ499" s="96"/>
      <c r="WTR499" s="97"/>
      <c r="WTS499" s="97"/>
      <c r="WTT499" s="97"/>
      <c r="WTU499" s="97"/>
      <c r="WTV499" s="97"/>
      <c r="WTW499" s="97"/>
      <c r="WTX499" s="97"/>
      <c r="WTY499" s="97"/>
      <c r="WUA499" s="94"/>
      <c r="WUB499" s="94"/>
      <c r="WUC499" s="95"/>
      <c r="WUD499" s="96"/>
      <c r="WUE499" s="97"/>
      <c r="WUF499" s="97"/>
      <c r="WUG499" s="97"/>
      <c r="WUH499" s="97"/>
      <c r="WUI499" s="97"/>
      <c r="WUJ499" s="97"/>
      <c r="WUK499" s="97"/>
      <c r="WUL499" s="97"/>
      <c r="WUN499" s="94"/>
      <c r="WUO499" s="94"/>
      <c r="WUP499" s="95"/>
      <c r="WUQ499" s="96"/>
      <c r="WUR499" s="97"/>
      <c r="WUS499" s="97"/>
      <c r="WUT499" s="97"/>
      <c r="WUU499" s="97"/>
      <c r="WUV499" s="97"/>
      <c r="WUW499" s="97"/>
      <c r="WUX499" s="97"/>
      <c r="WUY499" s="97"/>
      <c r="WVA499" s="94"/>
      <c r="WVB499" s="94"/>
      <c r="WVC499" s="95"/>
      <c r="WVD499" s="96"/>
      <c r="WVE499" s="97"/>
      <c r="WVF499" s="97"/>
      <c r="WVG499" s="97"/>
      <c r="WVH499" s="97"/>
      <c r="WVI499" s="97"/>
      <c r="WVJ499" s="97"/>
      <c r="WVK499" s="97"/>
      <c r="WVL499" s="97"/>
      <c r="WVN499" s="94"/>
      <c r="WVO499" s="94"/>
      <c r="WVP499" s="95"/>
      <c r="WVQ499" s="96"/>
      <c r="WVR499" s="97"/>
      <c r="WVS499" s="97"/>
      <c r="WVT499" s="97"/>
      <c r="WVU499" s="97"/>
      <c r="WVV499" s="97"/>
      <c r="WVW499" s="97"/>
      <c r="WVX499" s="97"/>
      <c r="WVY499" s="97"/>
      <c r="WWA499" s="94"/>
      <c r="WWB499" s="94"/>
      <c r="WWC499" s="95"/>
      <c r="WWD499" s="96"/>
      <c r="WWE499" s="97"/>
      <c r="WWF499" s="97"/>
      <c r="WWG499" s="97"/>
      <c r="WWH499" s="97"/>
      <c r="WWI499" s="97"/>
      <c r="WWJ499" s="97"/>
      <c r="WWK499" s="97"/>
      <c r="WWL499" s="97"/>
      <c r="WWN499" s="94"/>
      <c r="WWO499" s="94"/>
      <c r="WWP499" s="95"/>
      <c r="WWQ499" s="96"/>
      <c r="WWR499" s="97"/>
      <c r="WWS499" s="97"/>
      <c r="WWT499" s="97"/>
      <c r="WWU499" s="97"/>
      <c r="WWV499" s="97"/>
      <c r="WWW499" s="97"/>
      <c r="WWX499" s="97"/>
      <c r="WWY499" s="97"/>
      <c r="WXA499" s="94"/>
      <c r="WXB499" s="94"/>
      <c r="WXC499" s="95"/>
      <c r="WXD499" s="96"/>
      <c r="WXE499" s="97"/>
      <c r="WXF499" s="97"/>
      <c r="WXG499" s="97"/>
      <c r="WXH499" s="97"/>
      <c r="WXI499" s="97"/>
      <c r="WXJ499" s="97"/>
      <c r="WXK499" s="97"/>
      <c r="WXL499" s="97"/>
      <c r="WXN499" s="94"/>
      <c r="WXO499" s="94"/>
      <c r="WXP499" s="95"/>
      <c r="WXQ499" s="96"/>
      <c r="WXR499" s="97"/>
      <c r="WXS499" s="97"/>
      <c r="WXT499" s="97"/>
      <c r="WXU499" s="97"/>
      <c r="WXV499" s="97"/>
      <c r="WXW499" s="97"/>
      <c r="WXX499" s="97"/>
      <c r="WXY499" s="97"/>
      <c r="WYA499" s="94"/>
      <c r="WYB499" s="94"/>
      <c r="WYC499" s="95"/>
      <c r="WYD499" s="96"/>
      <c r="WYE499" s="97"/>
      <c r="WYF499" s="97"/>
      <c r="WYG499" s="97"/>
      <c r="WYH499" s="97"/>
      <c r="WYI499" s="97"/>
      <c r="WYJ499" s="97"/>
      <c r="WYK499" s="97"/>
      <c r="WYL499" s="97"/>
      <c r="WYN499" s="94"/>
      <c r="WYO499" s="94"/>
      <c r="WYP499" s="95"/>
      <c r="WYQ499" s="96"/>
      <c r="WYR499" s="97"/>
      <c r="WYS499" s="97"/>
      <c r="WYT499" s="97"/>
      <c r="WYU499" s="97"/>
      <c r="WYV499" s="97"/>
      <c r="WYW499" s="97"/>
      <c r="WYX499" s="97"/>
      <c r="WYY499" s="97"/>
      <c r="WZA499" s="94"/>
      <c r="WZB499" s="94"/>
      <c r="WZC499" s="95"/>
      <c r="WZD499" s="96"/>
      <c r="WZE499" s="97"/>
      <c r="WZF499" s="97"/>
      <c r="WZG499" s="97"/>
      <c r="WZH499" s="97"/>
      <c r="WZI499" s="97"/>
      <c r="WZJ499" s="97"/>
      <c r="WZK499" s="97"/>
      <c r="WZL499" s="97"/>
      <c r="WZN499" s="94"/>
      <c r="WZO499" s="94"/>
      <c r="WZP499" s="95"/>
      <c r="WZQ499" s="96"/>
      <c r="WZR499" s="97"/>
      <c r="WZS499" s="97"/>
      <c r="WZT499" s="97"/>
      <c r="WZU499" s="97"/>
      <c r="WZV499" s="97"/>
      <c r="WZW499" s="97"/>
      <c r="WZX499" s="97"/>
      <c r="WZY499" s="97"/>
      <c r="XAA499" s="94"/>
      <c r="XAB499" s="94"/>
      <c r="XAC499" s="95"/>
      <c r="XAD499" s="96"/>
      <c r="XAE499" s="97"/>
      <c r="XAF499" s="97"/>
      <c r="XAG499" s="97"/>
      <c r="XAH499" s="97"/>
      <c r="XAI499" s="97"/>
      <c r="XAJ499" s="97"/>
      <c r="XAK499" s="97"/>
      <c r="XAL499" s="97"/>
      <c r="XAN499" s="94"/>
      <c r="XAO499" s="94"/>
      <c r="XAP499" s="95"/>
      <c r="XAQ499" s="96"/>
      <c r="XAR499" s="97"/>
      <c r="XAS499" s="97"/>
      <c r="XAT499" s="97"/>
      <c r="XAU499" s="97"/>
      <c r="XAV499" s="97"/>
      <c r="XAW499" s="97"/>
      <c r="XAX499" s="97"/>
      <c r="XAY499" s="97"/>
      <c r="XBA499" s="94"/>
      <c r="XBB499" s="94"/>
      <c r="XBC499" s="95"/>
      <c r="XBD499" s="96"/>
      <c r="XBE499" s="97"/>
      <c r="XBF499" s="97"/>
      <c r="XBG499" s="97"/>
      <c r="XBH499" s="97"/>
      <c r="XBI499" s="97"/>
      <c r="XBJ499" s="97"/>
      <c r="XBK499" s="97"/>
      <c r="XBL499" s="97"/>
      <c r="XBN499" s="94"/>
      <c r="XBO499" s="94"/>
      <c r="XBP499" s="95"/>
      <c r="XBQ499" s="96"/>
      <c r="XBR499" s="97"/>
      <c r="XBS499" s="97"/>
      <c r="XBT499" s="97"/>
      <c r="XBU499" s="97"/>
      <c r="XBV499" s="97"/>
      <c r="XBW499" s="97"/>
      <c r="XBX499" s="97"/>
      <c r="XBY499" s="97"/>
      <c r="XCA499" s="94"/>
      <c r="XCB499" s="94"/>
      <c r="XCC499" s="95"/>
      <c r="XCD499" s="96"/>
      <c r="XCE499" s="97"/>
      <c r="XCF499" s="97"/>
      <c r="XCG499" s="97"/>
      <c r="XCH499" s="97"/>
      <c r="XCI499" s="97"/>
      <c r="XCJ499" s="97"/>
      <c r="XCK499" s="97"/>
      <c r="XCL499" s="97"/>
      <c r="XCN499" s="94"/>
      <c r="XCO499" s="94"/>
      <c r="XCP499" s="95"/>
      <c r="XCQ499" s="96"/>
      <c r="XCR499" s="97"/>
      <c r="XCS499" s="97"/>
      <c r="XCT499" s="97"/>
      <c r="XCU499" s="97"/>
      <c r="XCV499" s="97"/>
      <c r="XCW499" s="97"/>
      <c r="XCX499" s="97"/>
      <c r="XCY499" s="97"/>
      <c r="XDA499" s="94"/>
      <c r="XDB499" s="94"/>
      <c r="XDC499" s="95"/>
      <c r="XDD499" s="96"/>
      <c r="XDE499" s="97"/>
      <c r="XDF499" s="97"/>
      <c r="XDG499" s="97"/>
      <c r="XDH499" s="97"/>
      <c r="XDI499" s="97"/>
      <c r="XDJ499" s="97"/>
      <c r="XDK499" s="97"/>
      <c r="XDL499" s="97"/>
      <c r="XDN499" s="94"/>
      <c r="XDO499" s="94"/>
      <c r="XDP499" s="95"/>
      <c r="XDQ499" s="96"/>
      <c r="XDR499" s="97"/>
      <c r="XDS499" s="97"/>
      <c r="XDT499" s="97"/>
      <c r="XDU499" s="97"/>
      <c r="XDV499" s="97"/>
      <c r="XDW499" s="97"/>
      <c r="XDX499" s="97"/>
      <c r="XDY499" s="97"/>
      <c r="XEA499" s="94"/>
      <c r="XEB499" s="94"/>
      <c r="XEC499" s="95"/>
      <c r="XED499" s="96"/>
      <c r="XEE499" s="97"/>
      <c r="XEF499" s="97"/>
      <c r="XEG499" s="97"/>
      <c r="XEH499" s="97"/>
      <c r="XEI499" s="97"/>
      <c r="XEJ499" s="97"/>
      <c r="XEK499" s="97"/>
      <c r="XEL499" s="97"/>
      <c r="XEN499" s="94"/>
      <c r="XEO499" s="94"/>
      <c r="XEP499" s="95"/>
      <c r="XEQ499" s="96"/>
      <c r="XER499" s="97"/>
      <c r="XES499" s="97"/>
      <c r="XET499" s="97"/>
      <c r="XEU499" s="97"/>
      <c r="XEV499" s="97"/>
      <c r="XEW499" s="97"/>
      <c r="XEX499" s="97"/>
      <c r="XEY499" s="97"/>
      <c r="XFA499" s="94"/>
      <c r="XFB499" s="94"/>
      <c r="XFC499" s="95"/>
      <c r="XFD499" s="96"/>
    </row>
    <row r="500" spans="1:9216 9218:13311 13313:16384" s="89" customFormat="1" x14ac:dyDescent="0.2">
      <c r="A500" s="91">
        <v>2822</v>
      </c>
      <c r="B500" s="91">
        <v>957</v>
      </c>
      <c r="C500" s="92">
        <v>42222</v>
      </c>
      <c r="D500" s="163" t="s">
        <v>785</v>
      </c>
      <c r="E500" s="93">
        <v>-25.648</v>
      </c>
      <c r="F500" s="93">
        <v>1.4999999999999999E-2</v>
      </c>
      <c r="G500" s="93">
        <v>-153.74199999999999</v>
      </c>
      <c r="H500" s="93">
        <v>4.4999999999999998E-2</v>
      </c>
      <c r="I500" s="93">
        <v>2.331</v>
      </c>
      <c r="J500" s="93">
        <v>0.34899999999999998</v>
      </c>
      <c r="K500" s="93">
        <v>7.0190000000000001</v>
      </c>
      <c r="L500" s="93">
        <v>0.99099999999999999</v>
      </c>
      <c r="M500" s="148"/>
      <c r="N500" s="87"/>
      <c r="O500" s="87"/>
      <c r="P500" s="195"/>
      <c r="Q500" s="195"/>
      <c r="R500" s="195"/>
      <c r="S500" s="195"/>
      <c r="T500" s="195"/>
      <c r="U500" s="195"/>
      <c r="V500" s="183"/>
      <c r="W500" s="132"/>
      <c r="X500" s="132"/>
    </row>
    <row r="501" spans="1:9216 9218:13311 13313:16384" s="89" customFormat="1" x14ac:dyDescent="0.2">
      <c r="A501" s="91">
        <v>2824</v>
      </c>
      <c r="B501" s="91">
        <v>958</v>
      </c>
      <c r="C501" s="92">
        <v>42224</v>
      </c>
      <c r="D501" s="163" t="s">
        <v>785</v>
      </c>
      <c r="E501" s="93">
        <v>-25.524000000000001</v>
      </c>
      <c r="F501" s="93">
        <v>1.2E-2</v>
      </c>
      <c r="G501" s="93">
        <v>-153.55699999999999</v>
      </c>
      <c r="H501" s="93">
        <v>1.7999999999999999E-2</v>
      </c>
      <c r="I501" s="93">
        <v>3.0979999999999999</v>
      </c>
      <c r="J501" s="93">
        <v>0.14000000000000001</v>
      </c>
      <c r="K501" s="93">
        <v>9.4930000000000003</v>
      </c>
      <c r="L501" s="93">
        <v>0.53400000000000003</v>
      </c>
      <c r="M501" s="148"/>
      <c r="N501" s="87"/>
      <c r="O501" s="87"/>
      <c r="P501" s="195"/>
      <c r="Q501" s="195"/>
      <c r="R501" s="195"/>
      <c r="S501" s="195"/>
      <c r="T501" s="195"/>
      <c r="U501" s="195"/>
      <c r="V501" s="183"/>
      <c r="W501" s="132"/>
      <c r="X501" s="132"/>
    </row>
    <row r="502" spans="1:9216 9218:13311 13313:16384" s="89" customFormat="1" x14ac:dyDescent="0.2">
      <c r="A502" s="91">
        <v>2827</v>
      </c>
      <c r="B502" s="91">
        <v>959</v>
      </c>
      <c r="C502" s="92">
        <v>42252</v>
      </c>
      <c r="D502" s="163" t="s">
        <v>965</v>
      </c>
      <c r="E502" s="93">
        <v>-25.677494470000003</v>
      </c>
      <c r="F502" s="93">
        <v>7.0000000000000001E-3</v>
      </c>
      <c r="G502" s="93">
        <v>-153.92867243499998</v>
      </c>
      <c r="H502" s="93">
        <v>1.6E-2</v>
      </c>
      <c r="I502" s="93">
        <v>3.0511191238913327</v>
      </c>
      <c r="J502" s="93">
        <v>0.14857941270880179</v>
      </c>
      <c r="K502" s="93">
        <v>9.0433841801675907</v>
      </c>
      <c r="L502" s="93">
        <v>0.59060758103372457</v>
      </c>
      <c r="M502" s="148"/>
      <c r="N502" s="87">
        <v>7</v>
      </c>
      <c r="O502" s="87">
        <v>34</v>
      </c>
      <c r="P502" s="195"/>
      <c r="Q502" s="195"/>
      <c r="R502" s="195"/>
      <c r="S502" s="195"/>
      <c r="T502" s="195"/>
      <c r="U502" s="195"/>
      <c r="V502" s="183"/>
      <c r="W502" s="132"/>
      <c r="X502" s="132"/>
    </row>
    <row r="503" spans="1:9216 9218:13311 13313:16384" s="89" customFormat="1" x14ac:dyDescent="0.2">
      <c r="A503" s="87">
        <v>2828</v>
      </c>
      <c r="B503" s="87">
        <v>960</v>
      </c>
      <c r="C503" s="90">
        <v>42255</v>
      </c>
      <c r="D503" s="148" t="s">
        <v>967</v>
      </c>
      <c r="E503" s="88">
        <v>-10.608476572000001</v>
      </c>
      <c r="F503" s="88">
        <v>8.0000000000000002E-3</v>
      </c>
      <c r="G503" s="88">
        <v>-129.697274669</v>
      </c>
      <c r="H503" s="88">
        <v>2.5000000000000001E-2</v>
      </c>
      <c r="I503" s="88">
        <v>2.2719881294577249</v>
      </c>
      <c r="J503" s="88">
        <v>0.20719526245857514</v>
      </c>
      <c r="K503" s="88">
        <v>11.30447638556098</v>
      </c>
      <c r="L503" s="88">
        <v>0.7624231579069588</v>
      </c>
      <c r="M503" s="148"/>
      <c r="N503" s="87">
        <v>8</v>
      </c>
      <c r="O503" s="87">
        <v>31</v>
      </c>
      <c r="P503" s="195"/>
      <c r="Q503" s="195"/>
      <c r="R503" s="195"/>
      <c r="S503" s="195"/>
      <c r="T503" s="195"/>
      <c r="U503" s="195"/>
      <c r="V503" s="183"/>
      <c r="W503" s="132"/>
      <c r="X503" s="132"/>
    </row>
    <row r="504" spans="1:9216 9218:13311 13313:16384" s="89" customFormat="1" x14ac:dyDescent="0.2">
      <c r="A504" s="87">
        <v>2830</v>
      </c>
      <c r="B504" s="87">
        <v>963</v>
      </c>
      <c r="C504" s="90">
        <v>42256</v>
      </c>
      <c r="D504" s="148" t="s">
        <v>968</v>
      </c>
      <c r="E504" s="88">
        <v>-9.6248768229999992</v>
      </c>
      <c r="F504" s="88">
        <v>0.01</v>
      </c>
      <c r="G504" s="88">
        <v>-143.306148525</v>
      </c>
      <c r="H504" s="88">
        <v>3.5000000000000003E-2</v>
      </c>
      <c r="I504" s="88">
        <v>2.9853104585677581</v>
      </c>
      <c r="J504" s="88">
        <v>0.24469338100595028</v>
      </c>
      <c r="K504" s="88">
        <v>14.494053656668227</v>
      </c>
      <c r="L504" s="88">
        <v>0.99111186442644772</v>
      </c>
      <c r="M504" s="148"/>
      <c r="N504" s="87">
        <v>8</v>
      </c>
      <c r="O504" s="87">
        <v>26</v>
      </c>
      <c r="P504" s="195"/>
      <c r="Q504" s="195"/>
      <c r="R504" s="195"/>
      <c r="S504" s="195"/>
      <c r="T504" s="195"/>
      <c r="U504" s="195"/>
      <c r="V504" s="183"/>
      <c r="W504" s="132"/>
      <c r="X504" s="132"/>
    </row>
    <row r="505" spans="1:9216 9218:13311 13313:16384" s="89" customFormat="1" x14ac:dyDescent="0.2">
      <c r="A505" s="87">
        <v>2832</v>
      </c>
      <c r="B505" s="87">
        <v>964</v>
      </c>
      <c r="C505" s="90">
        <v>42256</v>
      </c>
      <c r="D505" s="148" t="s">
        <v>969</v>
      </c>
      <c r="E505" s="88">
        <v>-10.971666684999999</v>
      </c>
      <c r="F505" s="88">
        <v>0.01</v>
      </c>
      <c r="G505" s="88">
        <v>-130.190295265</v>
      </c>
      <c r="H505" s="88">
        <v>4.9000000000000002E-2</v>
      </c>
      <c r="I505" s="88">
        <v>2.0072004423272727</v>
      </c>
      <c r="J505" s="88">
        <v>0.24416907769862567</v>
      </c>
      <c r="K505" s="88">
        <v>12.326150575910466</v>
      </c>
      <c r="L505" s="88">
        <v>1.4430395413227652</v>
      </c>
      <c r="M505" s="148"/>
      <c r="N505" s="87">
        <v>4</v>
      </c>
      <c r="O505" s="87">
        <v>10</v>
      </c>
      <c r="P505" s="195"/>
      <c r="Q505" s="195"/>
      <c r="R505" s="195"/>
      <c r="S505" s="195"/>
      <c r="T505" s="195"/>
      <c r="U505" s="195"/>
      <c r="V505" s="183"/>
      <c r="W505" s="132"/>
      <c r="X505" s="132"/>
    </row>
    <row r="506" spans="1:9216 9218:13311 13313:16384" s="89" customFormat="1" x14ac:dyDescent="0.2">
      <c r="A506" s="87">
        <v>2834</v>
      </c>
      <c r="B506" s="87">
        <v>965</v>
      </c>
      <c r="C506" s="90">
        <v>42258</v>
      </c>
      <c r="D506" s="148" t="s">
        <v>975</v>
      </c>
      <c r="E506" s="88">
        <v>-37.577991726999997</v>
      </c>
      <c r="F506" s="88">
        <v>3.0000000000000001E-3</v>
      </c>
      <c r="G506" s="88">
        <v>-145.03548412699999</v>
      </c>
      <c r="H506" s="88">
        <v>3.4000000000000002E-2</v>
      </c>
      <c r="I506" s="88">
        <v>1.9998070099174203</v>
      </c>
      <c r="J506" s="88">
        <v>0.14699598868298647</v>
      </c>
      <c r="K506" s="88">
        <v>5.9208177609177959</v>
      </c>
      <c r="L506" s="88">
        <v>0.93370379731367203</v>
      </c>
      <c r="M506" s="148"/>
      <c r="N506" s="87"/>
      <c r="O506" s="87"/>
      <c r="P506" s="195"/>
      <c r="Q506" s="195"/>
      <c r="R506" s="195"/>
      <c r="S506" s="195"/>
      <c r="T506" s="195"/>
      <c r="U506" s="195"/>
      <c r="V506" s="183"/>
      <c r="W506" s="132"/>
      <c r="X506" s="132"/>
    </row>
    <row r="507" spans="1:9216 9218:13311 13313:16384" s="89" customFormat="1" x14ac:dyDescent="0.2">
      <c r="A507" s="87">
        <v>2836</v>
      </c>
      <c r="B507" s="87">
        <v>966</v>
      </c>
      <c r="C507" s="90">
        <v>42264</v>
      </c>
      <c r="D507" s="148" t="s">
        <v>976</v>
      </c>
      <c r="E507" s="88">
        <v>-37.420962580000001</v>
      </c>
      <c r="F507" s="88">
        <v>4.0000000000000001E-3</v>
      </c>
      <c r="G507" s="88">
        <v>-145.228364322</v>
      </c>
      <c r="H507" s="88">
        <v>1.6E-2</v>
      </c>
      <c r="I507" s="88">
        <v>2.4083273590120857</v>
      </c>
      <c r="J507" s="88">
        <v>0.11381639418145346</v>
      </c>
      <c r="K507" s="88">
        <v>6.1557238110989676</v>
      </c>
      <c r="L507" s="88">
        <v>0.62359300835395859</v>
      </c>
      <c r="M507" s="148"/>
      <c r="N507" s="87"/>
      <c r="O507" s="87"/>
      <c r="P507" s="195"/>
      <c r="Q507" s="195"/>
      <c r="R507" s="195"/>
      <c r="S507" s="195"/>
      <c r="T507" s="195"/>
      <c r="U507" s="195"/>
      <c r="V507" s="183"/>
      <c r="W507" s="132"/>
      <c r="X507" s="132"/>
    </row>
    <row r="508" spans="1:9216 9218:13311 13313:16384" s="89" customFormat="1" x14ac:dyDescent="0.2">
      <c r="A508" s="87">
        <v>2838</v>
      </c>
      <c r="B508" s="87">
        <v>967</v>
      </c>
      <c r="C508" s="90">
        <v>42264</v>
      </c>
      <c r="D508" s="148" t="s">
        <v>977</v>
      </c>
      <c r="E508" s="88">
        <v>-37.358343595000001</v>
      </c>
      <c r="F508" s="88">
        <v>4.0000000000000001E-3</v>
      </c>
      <c r="G508" s="88">
        <v>-145.16438454999999</v>
      </c>
      <c r="H508" s="88">
        <v>2.3E-2</v>
      </c>
      <c r="I508" s="88">
        <v>2.7053914327208606</v>
      </c>
      <c r="J508" s="88">
        <v>0.15090489508884142</v>
      </c>
      <c r="K508" s="88">
        <v>5.947018588932762</v>
      </c>
      <c r="L508" s="88">
        <v>0.87459886744651383</v>
      </c>
      <c r="M508" s="148"/>
      <c r="N508" s="87"/>
      <c r="O508" s="87"/>
      <c r="P508" s="195"/>
      <c r="Q508" s="195"/>
      <c r="R508" s="195"/>
      <c r="S508" s="195"/>
      <c r="T508" s="195"/>
      <c r="U508" s="195"/>
      <c r="V508" s="165"/>
      <c r="W508" s="185"/>
      <c r="X508" s="132"/>
    </row>
    <row r="509" spans="1:9216 9218:13311 13313:16384" x14ac:dyDescent="0.2">
      <c r="A509" s="85">
        <v>2876</v>
      </c>
      <c r="B509" s="85">
        <v>1002</v>
      </c>
      <c r="C509" s="90">
        <v>42291</v>
      </c>
      <c r="D509" s="148" t="s">
        <v>978</v>
      </c>
      <c r="E509" s="33">
        <v>-64.591821855999996</v>
      </c>
      <c r="F509" s="33">
        <v>5.0000000000000001E-3</v>
      </c>
      <c r="G509" s="33">
        <v>-252.32015298099998</v>
      </c>
      <c r="H509" s="33">
        <v>2.4E-2</v>
      </c>
      <c r="I509" s="33">
        <v>5.007195518074159</v>
      </c>
      <c r="J509" s="33">
        <v>0.18020376876465363</v>
      </c>
      <c r="K509" s="33">
        <v>7.2216240637470452</v>
      </c>
      <c r="L509" s="33">
        <v>0.7821977255098912</v>
      </c>
      <c r="M509" s="148"/>
      <c r="N509" s="85">
        <v>9</v>
      </c>
      <c r="O509" s="85">
        <v>28</v>
      </c>
      <c r="V509" s="165"/>
      <c r="W509" s="127"/>
    </row>
    <row r="510" spans="1:9216 9218:13311 13313:16384" x14ac:dyDescent="0.2">
      <c r="A510" s="87">
        <v>2878</v>
      </c>
      <c r="B510" s="87">
        <v>1003</v>
      </c>
      <c r="C510" s="90">
        <v>42292</v>
      </c>
      <c r="D510" s="148" t="s">
        <v>979</v>
      </c>
      <c r="E510" s="88">
        <v>-66.577325365000007</v>
      </c>
      <c r="F510" s="88">
        <v>5.0000000000000001E-3</v>
      </c>
      <c r="G510" s="88">
        <v>-304.42791375899998</v>
      </c>
      <c r="H510" s="88">
        <v>2.9000000000000001E-2</v>
      </c>
      <c r="I510" s="88">
        <v>2.7932972359332453</v>
      </c>
      <c r="J510" s="88">
        <v>0.29861327233479468</v>
      </c>
      <c r="K510" s="88">
        <v>-12.321464961373984</v>
      </c>
      <c r="L510" s="88">
        <v>0.93690314931007312</v>
      </c>
      <c r="M510" s="148"/>
      <c r="N510" s="87">
        <v>4</v>
      </c>
      <c r="O510" s="87">
        <v>26</v>
      </c>
      <c r="V510" s="165"/>
      <c r="W510" s="127"/>
    </row>
    <row r="511" spans="1:9216 9218:13311 13313:16384" x14ac:dyDescent="0.2">
      <c r="A511" s="87">
        <v>2880</v>
      </c>
      <c r="B511" s="87">
        <v>1004</v>
      </c>
      <c r="C511" s="90">
        <v>42293</v>
      </c>
      <c r="D511" s="148" t="s">
        <v>980</v>
      </c>
      <c r="E511" s="88">
        <v>-65.195854218999997</v>
      </c>
      <c r="F511" s="88">
        <v>7.0000000000000001E-3</v>
      </c>
      <c r="G511" s="88">
        <v>-308.93660592699996</v>
      </c>
      <c r="H511" s="88">
        <v>4.8000000000000001E-2</v>
      </c>
      <c r="I511" s="88">
        <v>2.0914921478938364</v>
      </c>
      <c r="J511" s="88">
        <v>0.19261824849996367</v>
      </c>
      <c r="K511" s="88">
        <v>-18.12573719723709</v>
      </c>
      <c r="L511" s="88">
        <v>1.4762728133692631</v>
      </c>
      <c r="M511" s="148"/>
      <c r="N511" s="87">
        <v>19</v>
      </c>
      <c r="O511" s="87">
        <v>15</v>
      </c>
      <c r="V511" s="165"/>
      <c r="W511" s="127"/>
    </row>
    <row r="512" spans="1:9216 9218:13311 13313:16384" x14ac:dyDescent="0.2">
      <c r="A512" s="87">
        <v>2883</v>
      </c>
      <c r="B512" s="87">
        <v>1005</v>
      </c>
      <c r="C512" s="90">
        <v>42294</v>
      </c>
      <c r="D512" s="148" t="s">
        <v>981</v>
      </c>
      <c r="E512" s="88">
        <v>-61.567806565000005</v>
      </c>
      <c r="F512" s="88">
        <v>6.0000000000000001E-3</v>
      </c>
      <c r="G512" s="88">
        <v>-307.18751186599997</v>
      </c>
      <c r="H512" s="88">
        <v>0.04</v>
      </c>
      <c r="I512" s="88">
        <v>2.3179921152605143</v>
      </c>
      <c r="J512" s="88">
        <v>0.22158065824508372</v>
      </c>
      <c r="K512" s="88">
        <v>-17.506518315405174</v>
      </c>
      <c r="L512" s="88">
        <v>1.6685018269905276</v>
      </c>
      <c r="M512" s="148"/>
      <c r="N512" s="87">
        <v>8</v>
      </c>
      <c r="O512" s="87">
        <v>15</v>
      </c>
      <c r="V512" s="165"/>
      <c r="W512" s="127"/>
    </row>
    <row r="513" spans="1:23" x14ac:dyDescent="0.2">
      <c r="A513" s="87">
        <v>2886</v>
      </c>
      <c r="B513" s="87">
        <v>1006</v>
      </c>
      <c r="C513" s="90">
        <v>42264</v>
      </c>
      <c r="D513" s="148" t="s">
        <v>982</v>
      </c>
      <c r="E513" s="88">
        <v>-37.665658305999997</v>
      </c>
      <c r="F513" s="88">
        <v>6.0000000000000001E-3</v>
      </c>
      <c r="G513" s="88">
        <v>-59.757975083000005</v>
      </c>
      <c r="H513" s="88">
        <v>2.3E-2</v>
      </c>
      <c r="I513" s="88">
        <v>0.6424892657383996</v>
      </c>
      <c r="J513" s="88">
        <v>0.15609521405695115</v>
      </c>
      <c r="K513" s="88">
        <v>-9.1778032492162431E-2</v>
      </c>
      <c r="L513" s="88">
        <v>0.67954977350828538</v>
      </c>
      <c r="M513" s="148"/>
      <c r="N513" s="87">
        <v>8</v>
      </c>
      <c r="O513" s="87">
        <v>25</v>
      </c>
      <c r="V513" s="165"/>
      <c r="W513" s="127"/>
    </row>
    <row r="514" spans="1:23" x14ac:dyDescent="0.2">
      <c r="A514" s="87">
        <v>2887</v>
      </c>
      <c r="B514" s="87">
        <v>1007</v>
      </c>
      <c r="C514" s="90">
        <v>42264</v>
      </c>
      <c r="D514" s="148" t="s">
        <v>983</v>
      </c>
      <c r="E514" s="88">
        <v>-37.276457230000005</v>
      </c>
      <c r="F514" s="88">
        <v>1.2E-2</v>
      </c>
      <c r="G514" s="88">
        <v>-59.543454670999999</v>
      </c>
      <c r="H514" s="88">
        <v>9.1999999999999998E-2</v>
      </c>
      <c r="I514" s="88">
        <v>6.886799111049946E-2</v>
      </c>
      <c r="J514" s="88">
        <v>0.38478246097127639</v>
      </c>
      <c r="K514" s="88">
        <v>-0.11386373746513634</v>
      </c>
      <c r="L514" s="88">
        <v>2.6091692605161709</v>
      </c>
      <c r="M514" s="148"/>
      <c r="N514" s="87">
        <v>5</v>
      </c>
      <c r="O514" s="87">
        <v>7</v>
      </c>
      <c r="V514" s="165"/>
      <c r="W514" s="127"/>
    </row>
    <row r="515" spans="1:23" x14ac:dyDescent="0.2">
      <c r="A515" s="87">
        <v>2890</v>
      </c>
      <c r="B515" s="87">
        <v>1008</v>
      </c>
      <c r="C515" s="90">
        <v>42264</v>
      </c>
      <c r="D515" s="148" t="s">
        <v>984</v>
      </c>
      <c r="E515" s="88">
        <v>-60.005222047000004</v>
      </c>
      <c r="F515" s="88">
        <v>5.0000000000000001E-3</v>
      </c>
      <c r="G515" s="88">
        <v>-310.41002244099997</v>
      </c>
      <c r="H515" s="88">
        <v>1.7999999999999999E-2</v>
      </c>
      <c r="I515" s="88">
        <v>1.7789722190677537</v>
      </c>
      <c r="J515" s="88">
        <v>0.162760109666619</v>
      </c>
      <c r="K515" s="88">
        <v>-17.643607290450891</v>
      </c>
      <c r="L515" s="88">
        <v>0.76334010547521081</v>
      </c>
      <c r="M515" s="148"/>
      <c r="N515" s="87">
        <v>11</v>
      </c>
      <c r="O515" s="87">
        <v>25</v>
      </c>
      <c r="V515" s="165"/>
      <c r="W515" s="127"/>
    </row>
    <row r="516" spans="1:23" x14ac:dyDescent="0.2">
      <c r="A516" s="85">
        <v>2892</v>
      </c>
      <c r="B516" s="85">
        <v>1009</v>
      </c>
      <c r="C516" s="32">
        <v>42296</v>
      </c>
      <c r="D516" s="164" t="s">
        <v>985</v>
      </c>
      <c r="E516" s="33">
        <v>-56.186427330999997</v>
      </c>
      <c r="F516" s="33">
        <v>7.0000000000000001E-3</v>
      </c>
      <c r="G516" s="33">
        <v>-285.80415483299998</v>
      </c>
      <c r="H516" s="33">
        <v>5.2999999999999999E-2</v>
      </c>
      <c r="I516" s="33">
        <v>0.73789477534247361</v>
      </c>
      <c r="J516" s="33">
        <v>0.24300385702682697</v>
      </c>
      <c r="K516" s="33">
        <v>-20.319998688193898</v>
      </c>
      <c r="L516" s="33">
        <v>1.3797544679461684</v>
      </c>
      <c r="M516" s="164"/>
      <c r="N516" s="85">
        <v>11</v>
      </c>
      <c r="O516" s="85">
        <v>19</v>
      </c>
      <c r="V516" s="165"/>
      <c r="W516" s="127"/>
    </row>
    <row r="517" spans="1:23" x14ac:dyDescent="0.2">
      <c r="A517" s="85">
        <v>2892</v>
      </c>
      <c r="B517" s="85">
        <v>1010</v>
      </c>
      <c r="C517" s="32">
        <v>42296</v>
      </c>
      <c r="D517" s="165" t="s">
        <v>986</v>
      </c>
      <c r="E517" s="33">
        <v>-64.142891901999988</v>
      </c>
      <c r="F517" s="33">
        <v>4.0000000000000001E-3</v>
      </c>
      <c r="G517" s="33">
        <v>-251.668123834</v>
      </c>
      <c r="H517" s="33">
        <v>2.5000000000000001E-2</v>
      </c>
      <c r="I517" s="33">
        <v>5.1485970248301705</v>
      </c>
      <c r="J517" s="33">
        <v>0.2261633007178929</v>
      </c>
      <c r="K517" s="33">
        <v>8.547170604351173</v>
      </c>
      <c r="L517" s="33">
        <v>0.85972671645609311</v>
      </c>
      <c r="M517" s="165"/>
      <c r="N517" s="85">
        <v>17</v>
      </c>
      <c r="O517" s="85">
        <v>23</v>
      </c>
      <c r="V517" s="165"/>
      <c r="W517" s="127"/>
    </row>
    <row r="518" spans="1:23" x14ac:dyDescent="0.2">
      <c r="A518" s="83">
        <v>2901</v>
      </c>
      <c r="B518" s="83">
        <v>1012</v>
      </c>
      <c r="C518" s="98">
        <v>42298</v>
      </c>
      <c r="D518" s="160" t="s">
        <v>987</v>
      </c>
      <c r="E518" s="80">
        <v>-70.979921695000002</v>
      </c>
      <c r="F518" s="80">
        <v>5.0000000000000001E-3</v>
      </c>
      <c r="G518" s="80">
        <v>-230.33745602499999</v>
      </c>
      <c r="H518" s="80">
        <v>2.5000000000000001E-2</v>
      </c>
      <c r="I518" s="80">
        <v>6.794577890920861</v>
      </c>
      <c r="J518" s="80">
        <v>0.18519073943517278</v>
      </c>
      <c r="K518" s="80">
        <v>14.783221273712899</v>
      </c>
      <c r="L518" s="80">
        <v>0.88576453496341523</v>
      </c>
      <c r="N518" s="83">
        <v>12</v>
      </c>
      <c r="O518" s="83">
        <v>30</v>
      </c>
    </row>
    <row r="519" spans="1:23" x14ac:dyDescent="0.2">
      <c r="A519" s="83">
        <v>2905</v>
      </c>
      <c r="B519" s="83">
        <v>1013</v>
      </c>
      <c r="C519" s="98">
        <v>42299</v>
      </c>
      <c r="D519" s="160" t="s">
        <v>988</v>
      </c>
      <c r="E519" s="80">
        <v>-72.052151391999999</v>
      </c>
      <c r="F519" s="80">
        <v>8.9999999999999993E-3</v>
      </c>
      <c r="G519" s="80">
        <v>-103.856032934</v>
      </c>
      <c r="H519" s="80">
        <v>0.04</v>
      </c>
      <c r="I519" s="80">
        <v>14.603753381396967</v>
      </c>
      <c r="J519" s="80">
        <v>0.28997326747774771</v>
      </c>
      <c r="K519" s="80">
        <v>61.142293091560603</v>
      </c>
      <c r="L519" s="80">
        <v>0.86578983727553138</v>
      </c>
      <c r="N519" s="83">
        <v>6</v>
      </c>
      <c r="O519" s="83">
        <v>30</v>
      </c>
    </row>
    <row r="520" spans="1:23" x14ac:dyDescent="0.2">
      <c r="A520" s="83">
        <v>2907</v>
      </c>
      <c r="B520" s="83">
        <v>1014</v>
      </c>
      <c r="C520" s="98">
        <v>42299</v>
      </c>
      <c r="D520" s="160" t="s">
        <v>989</v>
      </c>
      <c r="E520" s="80">
        <v>-71.955814492000002</v>
      </c>
      <c r="F520" s="80">
        <v>3.0000000000000001E-3</v>
      </c>
      <c r="G520" s="80">
        <v>-203.21191445500003</v>
      </c>
      <c r="H520" s="80">
        <v>2.7E-2</v>
      </c>
      <c r="I520" s="80">
        <v>6.7684669641312478</v>
      </c>
      <c r="J520" s="80">
        <v>0.15658063642619657</v>
      </c>
      <c r="K520" s="80">
        <v>18.255107927077407</v>
      </c>
      <c r="L520" s="80">
        <v>0.86516387502991143</v>
      </c>
      <c r="N520" s="83">
        <v>19</v>
      </c>
      <c r="O520" s="83">
        <v>22</v>
      </c>
    </row>
    <row r="521" spans="1:23" x14ac:dyDescent="0.2">
      <c r="A521" s="83">
        <v>2909</v>
      </c>
      <c r="B521" s="83">
        <v>1015</v>
      </c>
      <c r="C521" s="98">
        <v>42299</v>
      </c>
      <c r="D521" s="160" t="s">
        <v>990</v>
      </c>
      <c r="E521" s="80">
        <v>-75.439356795999998</v>
      </c>
      <c r="F521" s="80">
        <v>5.0000000000000001E-3</v>
      </c>
      <c r="G521" s="80">
        <v>-120.84642591599999</v>
      </c>
      <c r="H521" s="80">
        <v>3.3000000000000002E-2</v>
      </c>
      <c r="I521" s="80">
        <v>15.688101695369383</v>
      </c>
      <c r="J521" s="80">
        <v>0.21165840880424833</v>
      </c>
      <c r="K521" s="80">
        <v>74.625937831904963</v>
      </c>
      <c r="L521" s="80">
        <v>0.88576319539227377</v>
      </c>
      <c r="N521" s="83">
        <v>10</v>
      </c>
      <c r="O521" s="83">
        <v>27</v>
      </c>
    </row>
    <row r="522" spans="1:23" x14ac:dyDescent="0.2">
      <c r="A522" s="83">
        <v>2911</v>
      </c>
      <c r="B522" s="83">
        <v>1016</v>
      </c>
      <c r="C522" s="98">
        <v>42302</v>
      </c>
      <c r="D522" s="160" t="s">
        <v>991</v>
      </c>
      <c r="E522" s="80">
        <v>-74.822800636000011</v>
      </c>
      <c r="F522" s="80">
        <v>3.0000000000000001E-3</v>
      </c>
      <c r="G522" s="80">
        <v>-227.910929084</v>
      </c>
      <c r="H522" s="80">
        <v>2.8000000000000001E-2</v>
      </c>
      <c r="I522" s="80">
        <v>7.9006778776453679</v>
      </c>
      <c r="J522" s="80">
        <v>0.13886803468204406</v>
      </c>
      <c r="K522" s="80">
        <v>24.667974975682625</v>
      </c>
      <c r="L522" s="80">
        <v>0.88393912974052169</v>
      </c>
      <c r="N522" s="83">
        <v>20</v>
      </c>
      <c r="O522" s="83">
        <v>26</v>
      </c>
    </row>
    <row r="523" spans="1:23" x14ac:dyDescent="0.2">
      <c r="A523" s="83">
        <v>2913</v>
      </c>
      <c r="B523" s="83">
        <v>1017</v>
      </c>
      <c r="C523" s="98">
        <v>42303</v>
      </c>
      <c r="D523" s="160" t="s">
        <v>992</v>
      </c>
      <c r="E523" s="80">
        <v>-73.335358899999989</v>
      </c>
      <c r="F523" s="80">
        <v>0.01</v>
      </c>
      <c r="G523" s="80">
        <v>-229.817149938</v>
      </c>
      <c r="H523" s="80">
        <v>3.3000000000000002E-2</v>
      </c>
      <c r="I523" s="80">
        <v>7.5135564409638533</v>
      </c>
      <c r="J523" s="80">
        <v>0.17157841963215978</v>
      </c>
      <c r="K523" s="80">
        <v>19.734971170347613</v>
      </c>
      <c r="L523" s="80">
        <v>1.0715284237332992</v>
      </c>
      <c r="N523" s="83">
        <v>16</v>
      </c>
      <c r="O523" s="83">
        <v>22</v>
      </c>
    </row>
    <row r="524" spans="1:23" x14ac:dyDescent="0.2">
      <c r="A524" s="56">
        <v>2917</v>
      </c>
      <c r="B524" s="56">
        <v>1022</v>
      </c>
      <c r="C524" s="4">
        <v>42306</v>
      </c>
      <c r="D524" s="160" t="s">
        <v>824</v>
      </c>
      <c r="E524" s="80">
        <v>-25.518538585000002</v>
      </c>
      <c r="F524" s="80">
        <v>4.0000000000000001E-3</v>
      </c>
      <c r="G524" s="80">
        <v>-153.69345268499998</v>
      </c>
      <c r="H524" s="80">
        <v>2.4E-2</v>
      </c>
      <c r="I524" s="80">
        <v>2.6977881878444965</v>
      </c>
      <c r="J524" s="80">
        <v>0.10892187845003085</v>
      </c>
      <c r="K524" s="80">
        <v>9.9891933727320747</v>
      </c>
      <c r="L524" s="80">
        <v>0.73990176017171405</v>
      </c>
      <c r="N524" s="56">
        <v>17</v>
      </c>
      <c r="O524" s="56">
        <v>8</v>
      </c>
    </row>
    <row r="525" spans="1:23" x14ac:dyDescent="0.2">
      <c r="A525" s="56">
        <v>2925</v>
      </c>
      <c r="B525" s="56">
        <v>1025</v>
      </c>
      <c r="C525" s="4">
        <v>42353</v>
      </c>
      <c r="D525" s="160" t="s">
        <v>175</v>
      </c>
      <c r="E525" s="80">
        <v>-36.606915775000004</v>
      </c>
      <c r="F525" s="80">
        <v>3.0000000000000001E-3</v>
      </c>
      <c r="G525" s="80">
        <v>-59.057020228000006</v>
      </c>
      <c r="H525" s="80">
        <v>1.6E-2</v>
      </c>
      <c r="I525" s="80">
        <v>0.22306809090077984</v>
      </c>
      <c r="J525" s="80">
        <v>9.5390898938868748E-2</v>
      </c>
      <c r="K525" s="80">
        <v>-1.9326416779683608</v>
      </c>
      <c r="L525" s="80">
        <v>0.50192406285968683</v>
      </c>
      <c r="M525" s="160" t="s">
        <v>1014</v>
      </c>
      <c r="N525" s="56">
        <v>38</v>
      </c>
      <c r="O525" s="56">
        <v>20</v>
      </c>
    </row>
    <row r="526" spans="1:23" x14ac:dyDescent="0.2">
      <c r="A526" s="56">
        <v>2928</v>
      </c>
      <c r="B526" s="56" t="s">
        <v>993</v>
      </c>
      <c r="C526" s="4">
        <v>42355</v>
      </c>
      <c r="D526" s="160" t="s">
        <v>1018</v>
      </c>
      <c r="E526" s="80">
        <v>-59.783647176999999</v>
      </c>
      <c r="F526" s="80">
        <v>4.0000000000000001E-3</v>
      </c>
      <c r="G526" s="80">
        <v>-180.44546529200002</v>
      </c>
      <c r="H526" s="80">
        <v>0.02</v>
      </c>
      <c r="I526" s="80">
        <v>2.8175119347064737</v>
      </c>
      <c r="J526" s="80">
        <v>0.14424202091926328</v>
      </c>
      <c r="K526" s="80">
        <v>0.54356647487230347</v>
      </c>
      <c r="L526" s="80">
        <v>0.60769351403852756</v>
      </c>
      <c r="M526" s="160" t="s">
        <v>1015</v>
      </c>
      <c r="N526" s="56">
        <v>10</v>
      </c>
      <c r="O526" s="56">
        <v>40</v>
      </c>
    </row>
    <row r="527" spans="1:23" x14ac:dyDescent="0.2">
      <c r="A527" s="56">
        <v>2930</v>
      </c>
      <c r="B527" s="99" t="s">
        <v>994</v>
      </c>
      <c r="C527" s="4">
        <v>42356</v>
      </c>
      <c r="D527" s="160" t="s">
        <v>1016</v>
      </c>
      <c r="E527" s="80">
        <v>-59.217186204999997</v>
      </c>
      <c r="F527" s="80">
        <v>3.0000000000000001E-3</v>
      </c>
      <c r="G527" s="80">
        <v>-180.17637389800001</v>
      </c>
      <c r="H527" s="80">
        <v>1.9E-2</v>
      </c>
      <c r="I527" s="80">
        <v>2.1244846616426116</v>
      </c>
      <c r="J527" s="80">
        <v>0.12304194379594853</v>
      </c>
      <c r="K527" s="80">
        <v>2.4465109500531046</v>
      </c>
      <c r="L527" s="80">
        <v>0.58895058283681823</v>
      </c>
      <c r="M527" s="160" t="s">
        <v>1017</v>
      </c>
      <c r="N527" s="56">
        <v>20</v>
      </c>
      <c r="O527" s="56">
        <v>40</v>
      </c>
    </row>
    <row r="528" spans="1:23" x14ac:dyDescent="0.2">
      <c r="A528" s="56">
        <v>2932</v>
      </c>
      <c r="B528" s="56">
        <v>1028</v>
      </c>
      <c r="C528" s="4">
        <v>42371</v>
      </c>
      <c r="D528" s="160" t="s">
        <v>175</v>
      </c>
      <c r="E528" s="80">
        <v>-36.576087966999999</v>
      </c>
      <c r="F528" s="80">
        <v>4.0000000000000001E-3</v>
      </c>
      <c r="G528" s="80">
        <v>-59.095596266999998</v>
      </c>
      <c r="H528" s="80">
        <v>1.4999999999999999E-2</v>
      </c>
      <c r="I528" s="80">
        <v>0.39705549432600407</v>
      </c>
      <c r="J528" s="80">
        <v>0.17069349787139815</v>
      </c>
      <c r="K528" s="80">
        <v>-1.6389901418309982</v>
      </c>
      <c r="L528" s="80">
        <v>0.5877021359030179</v>
      </c>
      <c r="N528" s="56">
        <v>37</v>
      </c>
      <c r="O528" s="56">
        <v>13</v>
      </c>
    </row>
    <row r="529" spans="1:15" x14ac:dyDescent="0.2">
      <c r="A529" s="56">
        <v>2934</v>
      </c>
      <c r="B529" s="56" t="s">
        <v>995</v>
      </c>
      <c r="C529" s="4">
        <v>42372</v>
      </c>
      <c r="D529" s="160" t="s">
        <v>996</v>
      </c>
      <c r="E529" s="80">
        <v>-69.633131833000007</v>
      </c>
      <c r="F529" s="80">
        <v>8.0000000000000002E-3</v>
      </c>
      <c r="G529" s="80">
        <v>-188.31309549000002</v>
      </c>
      <c r="H529" s="80">
        <v>3.6999999999999998E-2</v>
      </c>
      <c r="I529" s="80">
        <v>5.7762534568794877</v>
      </c>
      <c r="J529" s="80">
        <v>0.73229081199886836</v>
      </c>
      <c r="K529" s="80">
        <v>16.078874180021518</v>
      </c>
      <c r="L529" s="80">
        <v>1.5074346207866369</v>
      </c>
      <c r="N529" s="56">
        <v>4</v>
      </c>
      <c r="O529" s="56">
        <v>9</v>
      </c>
    </row>
    <row r="530" spans="1:15" x14ac:dyDescent="0.2">
      <c r="A530" s="56">
        <v>2936</v>
      </c>
      <c r="B530" s="56" t="s">
        <v>998</v>
      </c>
      <c r="C530" s="4">
        <v>42374</v>
      </c>
      <c r="D530" s="160" t="s">
        <v>999</v>
      </c>
      <c r="E530" s="80">
        <v>-62.769127708000006</v>
      </c>
      <c r="F530" s="80">
        <v>3.0000000000000001E-3</v>
      </c>
      <c r="G530" s="80">
        <v>-170.90024783699999</v>
      </c>
      <c r="H530" s="80">
        <v>1.7000000000000001E-2</v>
      </c>
      <c r="I530" s="80">
        <v>5.1357906686555488</v>
      </c>
      <c r="J530" s="80">
        <v>0.12865248261305953</v>
      </c>
      <c r="K530" s="80">
        <v>14.079792520949264</v>
      </c>
      <c r="L530" s="80">
        <v>0.69069401432461786</v>
      </c>
      <c r="N530" s="56">
        <v>17</v>
      </c>
      <c r="O530" s="56">
        <v>40</v>
      </c>
    </row>
    <row r="531" spans="1:15" x14ac:dyDescent="0.2">
      <c r="A531" s="56">
        <v>2938</v>
      </c>
      <c r="B531" s="56">
        <v>1031</v>
      </c>
      <c r="C531" s="4">
        <v>42375</v>
      </c>
      <c r="D531" s="160" t="s">
        <v>1001</v>
      </c>
      <c r="E531" s="80">
        <v>-71.064698166999989</v>
      </c>
      <c r="F531" s="80">
        <v>3.3999999999999998E-3</v>
      </c>
      <c r="G531" s="80">
        <v>-188.18607682500001</v>
      </c>
      <c r="H531" s="80">
        <v>1.4999999999999999E-2</v>
      </c>
      <c r="I531" s="80">
        <v>4.7298854651012245</v>
      </c>
      <c r="J531" s="80">
        <v>0.15726583217102524</v>
      </c>
      <c r="K531" s="80">
        <v>14.56377542642584</v>
      </c>
      <c r="L531" s="80">
        <v>0.61666025143440784</v>
      </c>
      <c r="N531" s="56">
        <v>15</v>
      </c>
      <c r="O531" s="56">
        <v>37</v>
      </c>
    </row>
    <row r="532" spans="1:15" x14ac:dyDescent="0.2">
      <c r="A532" s="56">
        <v>2940</v>
      </c>
      <c r="B532" s="56" t="s">
        <v>1009</v>
      </c>
      <c r="C532" s="4">
        <v>42376</v>
      </c>
      <c r="D532" s="166" t="s">
        <v>1010</v>
      </c>
      <c r="E532" s="80">
        <v>-59.412750111999998</v>
      </c>
      <c r="F532" s="80">
        <v>3.3999999999999998E-3</v>
      </c>
      <c r="G532" s="80">
        <v>-180.284574983</v>
      </c>
      <c r="H532" s="80">
        <v>2.1999999999999999E-2</v>
      </c>
      <c r="I532" s="80">
        <v>2.5885886930014923</v>
      </c>
      <c r="J532" s="80">
        <v>0.12030701241159059</v>
      </c>
      <c r="K532" s="80">
        <v>0.73793905140218108</v>
      </c>
      <c r="L532" s="80">
        <v>0.88614299725827794</v>
      </c>
      <c r="N532" s="56">
        <v>20</v>
      </c>
      <c r="O532" s="56">
        <v>34</v>
      </c>
    </row>
    <row r="533" spans="1:15" x14ac:dyDescent="0.2">
      <c r="A533" s="56">
        <v>2942</v>
      </c>
      <c r="B533" s="56">
        <v>1033</v>
      </c>
      <c r="C533" s="4">
        <v>42378</v>
      </c>
      <c r="D533" s="160" t="s">
        <v>1011</v>
      </c>
      <c r="E533" s="80">
        <v>-62.231567806000001</v>
      </c>
      <c r="F533" s="80">
        <v>4.0000000000000001E-3</v>
      </c>
      <c r="G533" s="80">
        <v>-174.75126558400001</v>
      </c>
      <c r="H533" s="80">
        <v>1.4E-2</v>
      </c>
      <c r="I533" s="80">
        <v>5.3096784035320255</v>
      </c>
      <c r="J533" s="80">
        <v>0.183463082348857</v>
      </c>
      <c r="K533" s="80">
        <v>13.433247821886374</v>
      </c>
      <c r="L533" s="80">
        <v>0.60499453979722129</v>
      </c>
      <c r="N533" s="56">
        <v>20</v>
      </c>
      <c r="O533" s="56">
        <v>40</v>
      </c>
    </row>
    <row r="534" spans="1:15" x14ac:dyDescent="0.2">
      <c r="A534" s="56">
        <v>2944</v>
      </c>
      <c r="B534" s="56" t="s">
        <v>1012</v>
      </c>
      <c r="C534" s="4">
        <v>42379</v>
      </c>
      <c r="D534" s="160" t="s">
        <v>1013</v>
      </c>
      <c r="E534" s="80">
        <v>-58.416626566000005</v>
      </c>
      <c r="F534" s="80">
        <v>4.0000000000000001E-3</v>
      </c>
      <c r="G534" s="80">
        <v>-180.18578268800002</v>
      </c>
      <c r="H534" s="80">
        <v>0.02</v>
      </c>
      <c r="I534" s="80">
        <v>3.2366810872050955</v>
      </c>
      <c r="J534" s="80">
        <v>0.14051922007774637</v>
      </c>
      <c r="K534" s="80">
        <v>2.3313356356047255</v>
      </c>
      <c r="L534" s="80">
        <v>0.73078058514935551</v>
      </c>
      <c r="N534" s="56">
        <v>16</v>
      </c>
      <c r="O534" s="56">
        <v>34</v>
      </c>
    </row>
    <row r="535" spans="1:15" x14ac:dyDescent="0.2">
      <c r="A535" s="56">
        <v>2946</v>
      </c>
      <c r="B535" s="56">
        <v>1035</v>
      </c>
      <c r="C535" s="4">
        <v>42381</v>
      </c>
      <c r="D535" s="160" t="s">
        <v>1019</v>
      </c>
      <c r="E535" s="80">
        <v>-67.006024570000008</v>
      </c>
      <c r="F535" s="80">
        <v>3.0000000000000001E-3</v>
      </c>
      <c r="G535" s="80">
        <v>-186.30996409900001</v>
      </c>
      <c r="H535" s="80">
        <v>1.7000000000000001E-2</v>
      </c>
      <c r="I535" s="80">
        <v>5.1232418932400936</v>
      </c>
      <c r="J535" s="80">
        <v>0.15531362056101633</v>
      </c>
      <c r="K535" s="80">
        <v>11.732892333353506</v>
      </c>
      <c r="L535" s="80">
        <v>0.65538460933908693</v>
      </c>
      <c r="N535" s="56">
        <v>20</v>
      </c>
      <c r="O535" s="56">
        <v>40</v>
      </c>
    </row>
    <row r="536" spans="1:15" x14ac:dyDescent="0.2">
      <c r="A536" s="56">
        <v>2948</v>
      </c>
      <c r="B536" s="56">
        <v>1036</v>
      </c>
      <c r="C536" s="4">
        <v>42382</v>
      </c>
      <c r="D536" s="160" t="s">
        <v>1020</v>
      </c>
      <c r="E536" s="80">
        <v>-37.434449746000006</v>
      </c>
      <c r="F536" s="80">
        <v>4.0000000000000001E-3</v>
      </c>
      <c r="G536" s="80">
        <v>-145.20296058899999</v>
      </c>
      <c r="H536" s="80">
        <v>1.4E-2</v>
      </c>
      <c r="I536" s="80">
        <v>2.4410531575680405</v>
      </c>
      <c r="J536" s="80">
        <v>0.1528593783855525</v>
      </c>
      <c r="K536" s="80">
        <v>7.835456958044551</v>
      </c>
      <c r="L536" s="80">
        <v>0.55265949402594183</v>
      </c>
    </row>
    <row r="537" spans="1:15" x14ac:dyDescent="0.2">
      <c r="A537" s="83">
        <v>2950</v>
      </c>
      <c r="B537" s="83">
        <v>1037</v>
      </c>
      <c r="C537" s="4">
        <v>42387</v>
      </c>
      <c r="D537" s="160" t="s">
        <v>1021</v>
      </c>
      <c r="E537" s="80">
        <v>-37.517299480000005</v>
      </c>
      <c r="F537" s="80">
        <v>2E-3</v>
      </c>
      <c r="G537" s="80">
        <v>-145.221778169</v>
      </c>
      <c r="H537" s="80">
        <v>1.2999999999999999E-2</v>
      </c>
      <c r="I537" s="80">
        <v>2.0371029403893903</v>
      </c>
      <c r="J537" s="80">
        <v>0.11221382045110216</v>
      </c>
      <c r="K537" s="80">
        <v>5.9549990744742765</v>
      </c>
      <c r="L537" s="80">
        <v>0.47542507793611294</v>
      </c>
    </row>
    <row r="538" spans="1:15" x14ac:dyDescent="0.2">
      <c r="A538" s="83">
        <v>2966</v>
      </c>
      <c r="B538" s="83">
        <v>1042</v>
      </c>
      <c r="C538" s="4">
        <v>42424</v>
      </c>
      <c r="D538" s="160" t="s">
        <v>1023</v>
      </c>
      <c r="E538" s="80">
        <v>-33.333387912999996</v>
      </c>
      <c r="F538" s="80">
        <v>2.5000000000000001E-2</v>
      </c>
      <c r="G538" s="80">
        <v>-140.46375306599998</v>
      </c>
      <c r="H538" s="80">
        <v>1.4999999999999999E-2</v>
      </c>
      <c r="I538" s="80">
        <v>2.5429966112755498</v>
      </c>
      <c r="J538" s="80">
        <v>0.41344402618673909</v>
      </c>
      <c r="K538" s="80">
        <v>6.664124785642267</v>
      </c>
      <c r="L538" s="80">
        <v>0.48558333526897585</v>
      </c>
      <c r="N538" s="56">
        <v>4</v>
      </c>
      <c r="O538" s="56">
        <v>40</v>
      </c>
    </row>
    <row r="539" spans="1:15" x14ac:dyDescent="0.2">
      <c r="A539" s="83">
        <v>2968</v>
      </c>
      <c r="B539" s="83">
        <v>1042</v>
      </c>
      <c r="C539" s="4">
        <v>42425</v>
      </c>
      <c r="D539" s="160" t="s">
        <v>1022</v>
      </c>
      <c r="E539" s="80">
        <v>-33.042450474999995</v>
      </c>
      <c r="F539" s="80">
        <v>1.4999999999999999E-2</v>
      </c>
      <c r="G539" s="80">
        <v>-140.46375306599998</v>
      </c>
      <c r="H539" s="80">
        <v>1.4999999999999999E-2</v>
      </c>
      <c r="I539" s="80">
        <v>3.3570076651150416</v>
      </c>
      <c r="J539" s="80">
        <v>0.19214584770953408</v>
      </c>
      <c r="K539" s="80">
        <v>6.664124785642267</v>
      </c>
      <c r="L539" s="80">
        <v>0.48558333526897585</v>
      </c>
      <c r="N539" s="56">
        <v>10</v>
      </c>
      <c r="O539" s="56">
        <v>40</v>
      </c>
    </row>
    <row r="540" spans="1:15" x14ac:dyDescent="0.2">
      <c r="A540" s="83">
        <v>2969</v>
      </c>
      <c r="B540" s="83">
        <v>1045</v>
      </c>
      <c r="C540" s="4">
        <v>42426</v>
      </c>
      <c r="D540" s="160" t="s">
        <v>1025</v>
      </c>
      <c r="E540" s="80">
        <v>-33.759197010999998</v>
      </c>
      <c r="F540" s="80">
        <v>0.08</v>
      </c>
      <c r="G540" s="80">
        <v>-141.31148504500001</v>
      </c>
      <c r="H540" s="80">
        <v>2.7E-2</v>
      </c>
      <c r="I540" s="80">
        <v>4.5671032969685221</v>
      </c>
      <c r="J540" s="80">
        <v>0.24994293006243384</v>
      </c>
      <c r="K540" s="80">
        <v>6.4359098397948067</v>
      </c>
      <c r="L540" s="80">
        <v>0.57806925692809707</v>
      </c>
      <c r="N540" s="56">
        <v>11</v>
      </c>
      <c r="O540" s="56">
        <v>31</v>
      </c>
    </row>
    <row r="541" spans="1:15" x14ac:dyDescent="0.2">
      <c r="A541" s="83">
        <v>2971</v>
      </c>
      <c r="B541" s="83">
        <v>1046</v>
      </c>
      <c r="C541" s="4">
        <v>42427</v>
      </c>
      <c r="D541" s="160" t="s">
        <v>1024</v>
      </c>
      <c r="E541" s="80">
        <v>-33.770757439</v>
      </c>
      <c r="F541" s="80">
        <v>8.0000000000000002E-3</v>
      </c>
      <c r="G541" s="80">
        <v>-141.98421353000001</v>
      </c>
      <c r="H541" s="80">
        <v>1.9E-2</v>
      </c>
      <c r="I541" s="80">
        <v>4.0722633775869266</v>
      </c>
      <c r="J541" s="80">
        <v>0.21219800981952536</v>
      </c>
      <c r="K541" s="80">
        <v>5.0651198918645335</v>
      </c>
      <c r="L541" s="80">
        <v>0.69758307001240827</v>
      </c>
      <c r="N541" s="56">
        <v>11</v>
      </c>
      <c r="O541" s="56">
        <v>31</v>
      </c>
    </row>
    <row r="542" spans="1:15" x14ac:dyDescent="0.2">
      <c r="A542" s="83">
        <v>2973</v>
      </c>
      <c r="B542" s="83">
        <v>1047</v>
      </c>
      <c r="C542" s="4">
        <v>42428</v>
      </c>
      <c r="D542" s="160" t="s">
        <v>1026</v>
      </c>
      <c r="E542" s="80">
        <v>-33.468259572999997</v>
      </c>
      <c r="F542" s="80">
        <v>8.9999999999999993E-3</v>
      </c>
      <c r="G542" s="80">
        <v>-141.75369817500001</v>
      </c>
      <c r="H542" s="80">
        <v>3.2000000000000001E-2</v>
      </c>
      <c r="I542" s="80">
        <v>4.4215776331379963</v>
      </c>
      <c r="J542" s="80">
        <v>0.30810804290927513</v>
      </c>
      <c r="K542" s="80">
        <v>7.4456943603244952</v>
      </c>
      <c r="L542" s="80">
        <v>1.1402824791591391</v>
      </c>
      <c r="N542" s="56">
        <v>15</v>
      </c>
      <c r="O542" s="56">
        <v>33</v>
      </c>
    </row>
    <row r="543" spans="1:15" x14ac:dyDescent="0.2">
      <c r="A543" s="83">
        <v>2975</v>
      </c>
      <c r="B543" s="83">
        <v>1048</v>
      </c>
      <c r="C543" s="4">
        <v>42430</v>
      </c>
      <c r="D543" s="160" t="s">
        <v>1027</v>
      </c>
      <c r="E543" s="80">
        <v>-32.925882825999999</v>
      </c>
      <c r="F543" s="80">
        <v>6.0000000000000001E-3</v>
      </c>
      <c r="G543" s="80">
        <v>-136.678596849</v>
      </c>
      <c r="H543" s="80">
        <v>4.3999999999999997E-2</v>
      </c>
      <c r="I543" s="80">
        <v>3.5503163809176286</v>
      </c>
      <c r="J543" s="80">
        <v>0.2309658778562329</v>
      </c>
      <c r="K543" s="80">
        <v>11.152516513736055</v>
      </c>
      <c r="L543" s="80">
        <v>1.8479359731098461</v>
      </c>
      <c r="N543" s="56">
        <v>17</v>
      </c>
      <c r="O543" s="56">
        <v>22</v>
      </c>
    </row>
    <row r="544" spans="1:15" x14ac:dyDescent="0.2">
      <c r="A544" s="83">
        <v>2977</v>
      </c>
      <c r="B544" s="83">
        <v>1049</v>
      </c>
      <c r="C544" s="4">
        <v>42431</v>
      </c>
      <c r="D544" s="160" t="s">
        <v>1028</v>
      </c>
      <c r="E544" s="80">
        <v>-27.895169908000003</v>
      </c>
      <c r="F544" s="80">
        <v>5.0000000000000001E-3</v>
      </c>
      <c r="G544" s="80">
        <v>-121.08352742400001</v>
      </c>
      <c r="H544" s="80">
        <v>2.5999999999999999E-2</v>
      </c>
      <c r="I544" s="80">
        <v>1.1057796226991989</v>
      </c>
      <c r="J544" s="80">
        <v>0.28677608478121741</v>
      </c>
      <c r="K544" s="80">
        <v>5.2539994749569718</v>
      </c>
      <c r="L544" s="80">
        <v>1.0935469492255618</v>
      </c>
      <c r="N544" s="56">
        <v>15</v>
      </c>
      <c r="O544" s="56">
        <v>31</v>
      </c>
    </row>
    <row r="545" spans="1:15" x14ac:dyDescent="0.2">
      <c r="A545" s="83">
        <v>2979</v>
      </c>
      <c r="B545" s="83">
        <v>1052</v>
      </c>
      <c r="C545" s="4">
        <v>42432</v>
      </c>
      <c r="D545" s="160" t="s">
        <v>1029</v>
      </c>
      <c r="E545" s="80">
        <v>-18.716190076</v>
      </c>
      <c r="F545" s="80">
        <v>1.2999999999999999E-2</v>
      </c>
      <c r="G545" s="80">
        <v>-78.647061886999992</v>
      </c>
      <c r="H545" s="80">
        <v>3.1E-2</v>
      </c>
      <c r="I545" s="80">
        <v>-0.65063800821896223</v>
      </c>
      <c r="J545" s="80">
        <v>0.23012064590359377</v>
      </c>
      <c r="K545" s="80">
        <v>-1.6927427110235982</v>
      </c>
      <c r="L545" s="80">
        <v>1.1445581782029228</v>
      </c>
      <c r="N545" s="56">
        <v>13</v>
      </c>
      <c r="O545" s="56">
        <v>22</v>
      </c>
    </row>
    <row r="546" spans="1:15" x14ac:dyDescent="0.2">
      <c r="A546" s="83">
        <v>2981</v>
      </c>
      <c r="B546" s="83">
        <v>1053</v>
      </c>
      <c r="C546" s="4">
        <v>42433</v>
      </c>
      <c r="D546" s="160" t="s">
        <v>1030</v>
      </c>
      <c r="E546" s="80">
        <v>-23.501243899000002</v>
      </c>
      <c r="F546" s="80">
        <v>5.0000000000000001E-3</v>
      </c>
      <c r="G546" s="80">
        <v>-101.76822243300001</v>
      </c>
      <c r="H546" s="80">
        <v>2.8000000000000001E-2</v>
      </c>
      <c r="I546" s="80">
        <v>0.58167876840742316</v>
      </c>
      <c r="J546" s="80">
        <v>0.16494945092602403</v>
      </c>
      <c r="K546" s="80">
        <v>-1.3917273918798712</v>
      </c>
      <c r="L546" s="80">
        <v>0.98184005744997682</v>
      </c>
      <c r="N546" s="56">
        <v>12</v>
      </c>
      <c r="O546" s="56">
        <v>29</v>
      </c>
    </row>
    <row r="547" spans="1:15" x14ac:dyDescent="0.2">
      <c r="A547" s="83">
        <v>2983</v>
      </c>
      <c r="B547" s="83">
        <v>1055</v>
      </c>
      <c r="C547" s="4">
        <v>42434</v>
      </c>
      <c r="D547" s="160" t="s">
        <v>1031</v>
      </c>
      <c r="E547" s="80">
        <v>-36.727336900000005</v>
      </c>
      <c r="F547" s="80">
        <v>5.0000000000000001E-3</v>
      </c>
      <c r="G547" s="80">
        <v>-210.02764193100001</v>
      </c>
      <c r="H547" s="80">
        <v>4.3999999999999997E-2</v>
      </c>
      <c r="I547" s="80">
        <v>5.0268708328806699</v>
      </c>
      <c r="J547" s="80">
        <v>0.1490690594976164</v>
      </c>
      <c r="K547" s="80">
        <v>14.717717013723597</v>
      </c>
      <c r="L547" s="80">
        <v>0.70151253166835947</v>
      </c>
      <c r="N547" s="56">
        <v>18</v>
      </c>
      <c r="O547" s="56">
        <v>35</v>
      </c>
    </row>
    <row r="548" spans="1:15" x14ac:dyDescent="0.2">
      <c r="A548" s="83">
        <v>2985</v>
      </c>
      <c r="B548" s="83">
        <v>1057</v>
      </c>
      <c r="C548" s="4">
        <v>42436</v>
      </c>
      <c r="D548" s="160" t="s">
        <v>1032</v>
      </c>
      <c r="E548" s="80">
        <v>-41.466149010999999</v>
      </c>
      <c r="F548" s="80">
        <v>1.6E-2</v>
      </c>
      <c r="G548" s="80">
        <v>-263.81769436100001</v>
      </c>
      <c r="H548" s="80">
        <v>4.3999999999999997E-2</v>
      </c>
      <c r="I548" s="80">
        <v>0.733915004396124</v>
      </c>
      <c r="J548" s="80">
        <v>0.33147098560335764</v>
      </c>
      <c r="K548" s="80">
        <v>11.355064440994767</v>
      </c>
      <c r="L548" s="80">
        <v>1.136276924601981</v>
      </c>
      <c r="N548" s="56">
        <v>18</v>
      </c>
      <c r="O548" s="56">
        <v>22</v>
      </c>
    </row>
    <row r="549" spans="1:15" x14ac:dyDescent="0.2">
      <c r="A549" s="83">
        <v>2987</v>
      </c>
      <c r="B549" s="83">
        <v>1058</v>
      </c>
      <c r="C549" s="4">
        <v>42437</v>
      </c>
      <c r="D549" s="160" t="s">
        <v>1033</v>
      </c>
      <c r="E549" s="80">
        <v>-55.273153518999997</v>
      </c>
      <c r="F549" s="80">
        <v>4.0000000000000001E-3</v>
      </c>
      <c r="G549" s="80">
        <v>-607.753190174</v>
      </c>
      <c r="H549" s="80">
        <v>3.4000000000000002E-2</v>
      </c>
      <c r="I549" s="80">
        <v>3.9086065257225577</v>
      </c>
      <c r="J549" s="80">
        <v>0.26959785494650151</v>
      </c>
      <c r="K549" s="80">
        <v>-26.97189307008707</v>
      </c>
      <c r="L549" s="80">
        <v>2.4945501679436681</v>
      </c>
      <c r="N549" s="56">
        <v>11</v>
      </c>
      <c r="O549" s="56">
        <v>30</v>
      </c>
    </row>
    <row r="550" spans="1:15" x14ac:dyDescent="0.2">
      <c r="A550" s="83">
        <v>2989</v>
      </c>
      <c r="B550" s="83">
        <v>1061</v>
      </c>
      <c r="C550" s="4">
        <v>42438</v>
      </c>
      <c r="D550" s="160" t="s">
        <v>1034</v>
      </c>
      <c r="E550" s="80">
        <v>-43.495004125000001</v>
      </c>
      <c r="F550" s="80">
        <v>4.0000000000000001E-3</v>
      </c>
      <c r="G550" s="80">
        <v>-292.76948207000004</v>
      </c>
      <c r="H550" s="80">
        <v>3.4000000000000002E-2</v>
      </c>
      <c r="I550" s="80">
        <v>1.7217531037481137</v>
      </c>
      <c r="J550" s="80">
        <v>0.251</v>
      </c>
      <c r="K550" s="80">
        <v>17.725341865140408</v>
      </c>
      <c r="L550" s="80">
        <v>1.0128629667770659</v>
      </c>
      <c r="N550" s="56">
        <v>11</v>
      </c>
      <c r="O550" s="56">
        <v>30</v>
      </c>
    </row>
    <row r="551" spans="1:15" x14ac:dyDescent="0.2">
      <c r="A551" s="56">
        <v>3005</v>
      </c>
      <c r="B551" s="56">
        <v>1069</v>
      </c>
      <c r="C551" s="4">
        <v>42658</v>
      </c>
      <c r="D551" s="160" t="s">
        <v>1036</v>
      </c>
      <c r="E551" s="80">
        <v>-29.919208177000002</v>
      </c>
      <c r="F551" s="80">
        <v>5.0000000000000001E-3</v>
      </c>
      <c r="G551" s="80">
        <v>13.648463617999996</v>
      </c>
      <c r="H551" s="80">
        <v>7.0000000000000007E-2</v>
      </c>
      <c r="I551" s="80">
        <v>0.64540971081017418</v>
      </c>
      <c r="J551" s="80">
        <v>0.18688428497527057</v>
      </c>
      <c r="K551" s="80">
        <v>-7.6058080444051379</v>
      </c>
      <c r="L551" s="80">
        <v>1.409773638661157</v>
      </c>
      <c r="N551" s="56">
        <v>7</v>
      </c>
      <c r="O551" s="56">
        <v>7</v>
      </c>
    </row>
    <row r="552" spans="1:15" x14ac:dyDescent="0.2">
      <c r="A552" s="56">
        <v>3007</v>
      </c>
      <c r="B552" s="56">
        <v>1070</v>
      </c>
      <c r="C552" s="4">
        <v>42663</v>
      </c>
      <c r="D552" s="160" t="s">
        <v>1037</v>
      </c>
      <c r="E552" s="80">
        <v>-39.929575456000002</v>
      </c>
      <c r="F552" s="80">
        <v>6.0000000000000001E-3</v>
      </c>
      <c r="G552" s="80">
        <v>-147.78661432300001</v>
      </c>
      <c r="H552" s="80">
        <v>3.7999999999999999E-2</v>
      </c>
      <c r="I552" s="80">
        <v>2.2749497853200573</v>
      </c>
      <c r="J552" s="80">
        <v>0.21581822750321636</v>
      </c>
      <c r="K552" s="80">
        <v>6.1148870904057517</v>
      </c>
      <c r="L552" s="80">
        <v>1.004267123227256</v>
      </c>
      <c r="N552" s="56">
        <v>11</v>
      </c>
      <c r="O552" s="56">
        <v>32</v>
      </c>
    </row>
    <row r="553" spans="1:15" x14ac:dyDescent="0.2">
      <c r="A553" s="56">
        <v>3017</v>
      </c>
      <c r="B553" s="56">
        <v>1071</v>
      </c>
      <c r="C553" s="4">
        <v>42676</v>
      </c>
      <c r="D553" s="160" t="s">
        <v>1038</v>
      </c>
      <c r="E553" s="80">
        <v>-30.105138394000001</v>
      </c>
      <c r="F553" s="80">
        <v>4.0000000000000001E-3</v>
      </c>
      <c r="G553" s="80">
        <v>21.374021086999996</v>
      </c>
      <c r="H553" s="80">
        <v>2.8000000000000001E-2</v>
      </c>
      <c r="I553" s="80">
        <v>1.1011639145430685</v>
      </c>
      <c r="J553" s="80">
        <v>0.14961229591467459</v>
      </c>
      <c r="K553" s="80">
        <v>-6.1434457889203431</v>
      </c>
      <c r="L553" s="80">
        <v>0.76505942158864848</v>
      </c>
      <c r="N553" s="56">
        <v>11</v>
      </c>
      <c r="O553" s="56">
        <v>32</v>
      </c>
    </row>
    <row r="554" spans="1:15" x14ac:dyDescent="0.2">
      <c r="A554" s="56">
        <v>3019</v>
      </c>
      <c r="B554" s="56">
        <v>1072</v>
      </c>
      <c r="C554" s="4">
        <v>42676</v>
      </c>
      <c r="D554" s="160" t="s">
        <v>1039</v>
      </c>
      <c r="E554" s="80">
        <v>-30.067567003000001</v>
      </c>
      <c r="F554" s="80">
        <v>6.0000000000000001E-3</v>
      </c>
      <c r="G554" s="80">
        <v>21.313804831000002</v>
      </c>
      <c r="H554" s="80">
        <v>2.9000000000000001E-2</v>
      </c>
      <c r="I554" s="80">
        <v>1.1040222381712983</v>
      </c>
      <c r="J554" s="80">
        <v>0.15074310293015536</v>
      </c>
      <c r="K554" s="80">
        <v>-4.2785659910224982</v>
      </c>
      <c r="L554" s="80">
        <v>0.98419720056732429</v>
      </c>
      <c r="N554" s="56">
        <v>11</v>
      </c>
      <c r="O554" s="56">
        <v>32</v>
      </c>
    </row>
    <row r="555" spans="1:15" x14ac:dyDescent="0.2">
      <c r="A555" s="56">
        <v>3024</v>
      </c>
      <c r="B555" s="56">
        <v>1073</v>
      </c>
      <c r="C555" s="4">
        <v>42691</v>
      </c>
      <c r="D555" s="160" t="s">
        <v>1040</v>
      </c>
      <c r="E555" s="80">
        <v>-30.353687596</v>
      </c>
      <c r="F555" s="80">
        <v>6.0000000000000001E-3</v>
      </c>
      <c r="G555" s="80">
        <v>21.036245526000002</v>
      </c>
      <c r="H555" s="80">
        <v>2.9000000000000001E-2</v>
      </c>
      <c r="I555" s="80">
        <v>1.1616975156663045</v>
      </c>
      <c r="J555" s="80">
        <v>0.15082739638966816</v>
      </c>
      <c r="K555" s="80">
        <v>-5.7920551978682955</v>
      </c>
      <c r="L555" s="80">
        <v>0.98622190792868769</v>
      </c>
      <c r="N555" s="56">
        <v>11</v>
      </c>
      <c r="O555" s="56">
        <v>32</v>
      </c>
    </row>
    <row r="556" spans="1:15" x14ac:dyDescent="0.2">
      <c r="A556" s="56">
        <v>3026</v>
      </c>
      <c r="B556" s="56">
        <v>1074</v>
      </c>
      <c r="C556" s="4">
        <v>42703</v>
      </c>
      <c r="D556" s="166" t="s">
        <v>1041</v>
      </c>
      <c r="E556" s="80">
        <v>-37.410365520999996</v>
      </c>
      <c r="F556" s="80">
        <v>4.0000000000000001E-3</v>
      </c>
      <c r="G556" s="80">
        <v>-145.01102127300001</v>
      </c>
      <c r="H556" s="80">
        <v>2.9000000000000001E-2</v>
      </c>
      <c r="I556" s="80">
        <v>3.0665073715825386</v>
      </c>
      <c r="J556" s="80">
        <v>0.13604245684771316</v>
      </c>
      <c r="K556" s="80">
        <v>6.4222712420203276</v>
      </c>
      <c r="L556" s="80">
        <v>1.3888860738697117</v>
      </c>
      <c r="M556" s="170"/>
      <c r="N556" s="56">
        <v>11</v>
      </c>
      <c r="O556" s="56">
        <v>32</v>
      </c>
    </row>
    <row r="557" spans="1:15" x14ac:dyDescent="0.2">
      <c r="A557" s="56">
        <v>3028</v>
      </c>
      <c r="B557" s="56">
        <v>1075</v>
      </c>
      <c r="C557" s="4">
        <v>42704</v>
      </c>
      <c r="D557" s="166" t="s">
        <v>1042</v>
      </c>
      <c r="E557" s="80">
        <v>-36.467227269999995</v>
      </c>
      <c r="F557" s="80">
        <v>6.0000000000000001E-3</v>
      </c>
      <c r="G557" s="80">
        <v>-123.22967242300001</v>
      </c>
      <c r="H557" s="80">
        <v>2.1000000000000001E-2</v>
      </c>
      <c r="I557" s="80">
        <v>2.3258413473925543</v>
      </c>
      <c r="J557" s="80">
        <v>0.12558213123479994</v>
      </c>
      <c r="K557" s="80">
        <v>7.0102110958478736</v>
      </c>
      <c r="L557" s="80">
        <v>0.76297802791713021</v>
      </c>
      <c r="M557" s="170"/>
      <c r="N557" s="56">
        <v>19</v>
      </c>
      <c r="O557" s="56">
        <v>33</v>
      </c>
    </row>
    <row r="558" spans="1:15" x14ac:dyDescent="0.2">
      <c r="A558" s="56">
        <v>3030</v>
      </c>
      <c r="B558" s="56">
        <v>1076</v>
      </c>
      <c r="C558" s="4">
        <v>42706</v>
      </c>
      <c r="D558" s="160" t="s">
        <v>1043</v>
      </c>
      <c r="E558" s="80">
        <v>-34.58865772</v>
      </c>
      <c r="F558" s="80">
        <v>5.0000000000000001E-3</v>
      </c>
      <c r="G558" s="80">
        <v>-76.741781912000008</v>
      </c>
      <c r="H558" s="80">
        <v>2.5000000000000001E-2</v>
      </c>
      <c r="I558" s="80">
        <v>1.9716306796597749</v>
      </c>
      <c r="J558" s="80">
        <v>0.1949595616492977</v>
      </c>
      <c r="K558" s="80">
        <v>3.905800696862638</v>
      </c>
      <c r="L558" s="80">
        <v>0.88185200643605755</v>
      </c>
      <c r="M558" s="160" t="s">
        <v>1044</v>
      </c>
      <c r="N558" s="56">
        <v>8</v>
      </c>
      <c r="O558" s="56">
        <v>20</v>
      </c>
    </row>
    <row r="559" spans="1:15" x14ac:dyDescent="0.2">
      <c r="A559" s="56">
        <v>3033</v>
      </c>
      <c r="B559" s="56">
        <v>1077</v>
      </c>
      <c r="C559" s="4">
        <v>42707</v>
      </c>
      <c r="D559" s="166" t="s">
        <v>1047</v>
      </c>
      <c r="E559" s="80">
        <v>-33.286182830000001</v>
      </c>
      <c r="F559" s="80">
        <v>5.0000000000000001E-3</v>
      </c>
      <c r="G559" s="80">
        <v>-51.792493469999997</v>
      </c>
      <c r="H559" s="80">
        <v>2.1999999999999999E-2</v>
      </c>
      <c r="I559" s="80">
        <v>1.6652383390000001</v>
      </c>
      <c r="J559" s="80">
        <v>0.175474611</v>
      </c>
      <c r="K559" s="80">
        <v>2.5251334889999999</v>
      </c>
      <c r="L559" s="80">
        <v>0.60069962799999999</v>
      </c>
      <c r="M559" s="170"/>
      <c r="N559" s="56">
        <v>10</v>
      </c>
      <c r="O559" s="56">
        <v>30</v>
      </c>
    </row>
    <row r="560" spans="1:15" x14ac:dyDescent="0.2">
      <c r="A560" s="56">
        <v>3035</v>
      </c>
      <c r="B560" s="56">
        <v>1078</v>
      </c>
      <c r="C560" s="4">
        <v>42710</v>
      </c>
      <c r="D560" s="166" t="s">
        <v>1048</v>
      </c>
      <c r="E560" s="80">
        <v>-31.224573169999999</v>
      </c>
      <c r="F560" s="80">
        <v>4.0000000000000001E-3</v>
      </c>
      <c r="G560" s="80">
        <v>-3.16692587</v>
      </c>
      <c r="H560" s="80">
        <v>2.1000000000000001E-2</v>
      </c>
      <c r="I560" s="80">
        <v>0.69577067800000003</v>
      </c>
      <c r="J560" s="80">
        <v>0.124609766</v>
      </c>
      <c r="K560" s="80">
        <v>-5.3470843060000002</v>
      </c>
      <c r="L560" s="80">
        <v>0.67381699299999998</v>
      </c>
      <c r="M560" s="170"/>
      <c r="N560" s="56">
        <v>14</v>
      </c>
      <c r="O560" s="56">
        <v>35</v>
      </c>
    </row>
    <row r="561" spans="1:21" x14ac:dyDescent="0.2">
      <c r="A561" s="56">
        <v>3037</v>
      </c>
      <c r="B561" s="56">
        <v>1079</v>
      </c>
      <c r="C561" s="4">
        <v>42713</v>
      </c>
      <c r="D561" s="166" t="s">
        <v>1049</v>
      </c>
      <c r="E561" s="80">
        <v>-31.149430389999999</v>
      </c>
      <c r="F561" s="80">
        <v>4.0000000000000001E-3</v>
      </c>
      <c r="G561" s="80">
        <v>-2.1394860019999999</v>
      </c>
      <c r="H561" s="80">
        <v>2.3E-2</v>
      </c>
      <c r="I561" s="80">
        <v>1.404871473</v>
      </c>
      <c r="J561" s="80">
        <v>0.12202197100000001</v>
      </c>
      <c r="K561" s="80">
        <v>-6.6490146829999999</v>
      </c>
      <c r="L561" s="80">
        <v>0.66639174700000003</v>
      </c>
      <c r="M561" s="170"/>
      <c r="N561" s="56">
        <v>14</v>
      </c>
      <c r="O561" s="56">
        <v>35</v>
      </c>
    </row>
    <row r="562" spans="1:21" x14ac:dyDescent="0.2">
      <c r="A562" s="56">
        <v>3039</v>
      </c>
      <c r="B562" s="56">
        <v>1080</v>
      </c>
      <c r="C562" s="4">
        <v>42717</v>
      </c>
      <c r="D562" s="166" t="s">
        <v>1046</v>
      </c>
      <c r="E562" s="80">
        <v>-37.775482372000006</v>
      </c>
      <c r="F562" s="80">
        <v>4.0000000000000001E-3</v>
      </c>
      <c r="G562" s="80">
        <v>-142.28341305200001</v>
      </c>
      <c r="H562" s="80">
        <v>1.7999999999999999E-2</v>
      </c>
      <c r="I562" s="80">
        <v>3.3828295504481076</v>
      </c>
      <c r="J562" s="80">
        <v>0.1062752370299052</v>
      </c>
      <c r="K562" s="80">
        <v>7.7550557060594993</v>
      </c>
      <c r="L562" s="80">
        <v>0.60670180991775491</v>
      </c>
      <c r="M562" s="170"/>
      <c r="N562" s="56">
        <v>20</v>
      </c>
      <c r="O562" s="56">
        <v>38</v>
      </c>
    </row>
    <row r="563" spans="1:21" x14ac:dyDescent="0.2">
      <c r="A563" s="56">
        <v>3042</v>
      </c>
      <c r="B563" s="56">
        <v>1081</v>
      </c>
      <c r="C563" s="4">
        <v>42781</v>
      </c>
      <c r="D563" s="166" t="s">
        <v>1045</v>
      </c>
      <c r="E563" s="80">
        <v>-37.571248144000002</v>
      </c>
      <c r="F563" s="80">
        <v>3.0000000000000001E-3</v>
      </c>
      <c r="G563" s="80">
        <v>-144.84448569</v>
      </c>
      <c r="H563" s="80">
        <v>2.1000000000000001E-2</v>
      </c>
      <c r="I563" s="80">
        <v>2.8537889944659778</v>
      </c>
      <c r="J563" s="80">
        <v>0.1244592209324205</v>
      </c>
      <c r="K563" s="80">
        <v>7.5144011554688639</v>
      </c>
      <c r="L563" s="80">
        <v>0.65768159503170542</v>
      </c>
      <c r="M563" s="170"/>
      <c r="N563" s="56">
        <v>20</v>
      </c>
      <c r="O563" s="56">
        <v>40</v>
      </c>
    </row>
    <row r="564" spans="1:21" x14ac:dyDescent="0.2">
      <c r="A564" s="56">
        <v>3044</v>
      </c>
      <c r="B564" s="56">
        <v>1082</v>
      </c>
      <c r="C564" s="4">
        <v>42788</v>
      </c>
      <c r="D564" s="166" t="s">
        <v>1050</v>
      </c>
      <c r="E564" s="80">
        <v>-37.093417119999998</v>
      </c>
      <c r="F564" s="80">
        <v>3.0000000000000001E-3</v>
      </c>
      <c r="G564" s="80">
        <v>-150.71462977100001</v>
      </c>
      <c r="H564" s="80">
        <v>1.9E-2</v>
      </c>
      <c r="I564" s="80">
        <v>4.4428838390524472</v>
      </c>
      <c r="J564" s="80">
        <v>0.11832309078196233</v>
      </c>
      <c r="K564" s="80">
        <v>12.757680662585758</v>
      </c>
      <c r="L564" s="80">
        <v>0.6787830158150826</v>
      </c>
      <c r="M564" s="170"/>
      <c r="N564" s="56">
        <v>20</v>
      </c>
      <c r="O564" s="56">
        <v>40</v>
      </c>
    </row>
    <row r="565" spans="1:21" x14ac:dyDescent="0.2">
      <c r="A565" s="56">
        <v>3046</v>
      </c>
      <c r="B565" s="56">
        <v>1083</v>
      </c>
      <c r="C565" s="4">
        <v>42809</v>
      </c>
      <c r="D565" s="160" t="s">
        <v>1051</v>
      </c>
      <c r="E565" s="80">
        <v>-57.128</v>
      </c>
      <c r="F565" s="80">
        <v>3.0000000000000001E-3</v>
      </c>
      <c r="G565" s="80">
        <v>-203.10499999999999</v>
      </c>
      <c r="H565" s="80">
        <v>2.1000000000000001E-2</v>
      </c>
      <c r="I565" s="80">
        <v>6.0469999999999997</v>
      </c>
      <c r="J565" s="80">
        <v>0.11899999999999999</v>
      </c>
      <c r="K565" s="80">
        <v>18.084</v>
      </c>
      <c r="L565" s="80">
        <v>0.55139116399999999</v>
      </c>
      <c r="N565" s="56">
        <v>20</v>
      </c>
      <c r="O565" s="56">
        <v>40</v>
      </c>
    </row>
    <row r="566" spans="1:21" x14ac:dyDescent="0.2">
      <c r="A566" s="56">
        <v>3050</v>
      </c>
      <c r="B566" s="56">
        <v>1084</v>
      </c>
      <c r="C566" s="4">
        <v>42812</v>
      </c>
      <c r="D566" s="160" t="s">
        <v>1052</v>
      </c>
      <c r="E566" s="80">
        <v>-73.153282159</v>
      </c>
      <c r="F566" s="80">
        <v>4.0000000000000001E-3</v>
      </c>
      <c r="G566" s="80">
        <v>-536.75257907599996</v>
      </c>
      <c r="H566" s="80">
        <v>2.8000000000000001E-2</v>
      </c>
      <c r="I566" s="80">
        <v>-1.9753866978892143</v>
      </c>
      <c r="J566" s="80">
        <v>0.21457031318551559</v>
      </c>
      <c r="K566" s="80">
        <v>-9.8762527644816736</v>
      </c>
      <c r="L566" s="80">
        <v>0.98141379073769197</v>
      </c>
      <c r="N566" s="56">
        <v>12</v>
      </c>
      <c r="O566" s="56">
        <v>27</v>
      </c>
      <c r="P566" s="82"/>
      <c r="Q566" s="82"/>
      <c r="R566" s="82"/>
      <c r="S566" s="82"/>
      <c r="T566" s="82"/>
      <c r="U566" s="82"/>
    </row>
    <row r="567" spans="1:21" x14ac:dyDescent="0.2">
      <c r="A567" s="56">
        <v>3052</v>
      </c>
      <c r="B567" s="56">
        <v>1085</v>
      </c>
      <c r="C567" s="4">
        <v>42815</v>
      </c>
      <c r="D567" s="160" t="s">
        <v>1053</v>
      </c>
      <c r="E567" s="80">
        <v>-36.051051862000001</v>
      </c>
      <c r="F567" s="80">
        <v>3.0000000000000001E-3</v>
      </c>
      <c r="G567" s="80">
        <v>-87.084864758999998</v>
      </c>
      <c r="H567" s="80">
        <v>1.7999999999999999E-2</v>
      </c>
      <c r="I567" s="80">
        <v>9.8190987083983661</v>
      </c>
      <c r="J567" s="80">
        <v>0.10068546642551794</v>
      </c>
      <c r="K567" s="80">
        <v>25.823206605839921</v>
      </c>
      <c r="L567" s="80">
        <v>0.5077764724531515</v>
      </c>
      <c r="N567" s="56">
        <v>20</v>
      </c>
      <c r="O567" s="56">
        <v>40</v>
      </c>
    </row>
    <row r="568" spans="1:21" x14ac:dyDescent="0.2">
      <c r="A568" s="56">
        <v>3054</v>
      </c>
      <c r="B568" s="56">
        <v>1086</v>
      </c>
      <c r="C568" s="4">
        <v>42818</v>
      </c>
      <c r="D568" s="166" t="s">
        <v>1054</v>
      </c>
      <c r="E568" s="80">
        <v>-75.521243161000001</v>
      </c>
      <c r="F568" s="80">
        <v>5.0000000000000001E-3</v>
      </c>
      <c r="G568" s="80">
        <v>806.04734862800001</v>
      </c>
      <c r="H568" s="80">
        <v>5.0999999999999997E-2</v>
      </c>
      <c r="I568" s="80">
        <v>-4.87289500506638</v>
      </c>
      <c r="J568" s="80">
        <v>0.14049791577394269</v>
      </c>
      <c r="K568" s="80">
        <v>-16.253676194368239</v>
      </c>
      <c r="L568" s="80">
        <v>0.43409541298598958</v>
      </c>
      <c r="M568" s="170"/>
      <c r="N568" s="56">
        <v>10</v>
      </c>
      <c r="O568" s="56">
        <v>32</v>
      </c>
      <c r="P568" s="82"/>
      <c r="Q568" s="82"/>
      <c r="R568" s="82"/>
      <c r="S568" s="82"/>
      <c r="T568" s="82"/>
      <c r="U568" s="82"/>
    </row>
    <row r="569" spans="1:21" x14ac:dyDescent="0.2">
      <c r="A569" s="56">
        <v>3056</v>
      </c>
      <c r="B569" s="56">
        <v>1087</v>
      </c>
      <c r="C569" s="4">
        <v>42823</v>
      </c>
      <c r="D569" s="160" t="s">
        <v>1055</v>
      </c>
      <c r="E569" s="80">
        <v>-35.726396508999997</v>
      </c>
      <c r="F569" s="80">
        <v>4.0000000000000001E-3</v>
      </c>
      <c r="G569" s="80">
        <v>-71.437106110000002</v>
      </c>
      <c r="H569" s="80">
        <v>0.02</v>
      </c>
      <c r="I569" s="80">
        <v>9.4341350544175917</v>
      </c>
      <c r="J569" s="80">
        <v>0.10533996160687431</v>
      </c>
      <c r="K569" s="80">
        <v>31.199005868569387</v>
      </c>
      <c r="L569" s="80">
        <v>0.52140920542428515</v>
      </c>
      <c r="N569" s="56">
        <v>20</v>
      </c>
      <c r="O569" s="56">
        <v>40</v>
      </c>
    </row>
    <row r="570" spans="1:21" x14ac:dyDescent="0.2">
      <c r="A570" s="56">
        <v>3058</v>
      </c>
      <c r="B570" s="56">
        <v>1088</v>
      </c>
      <c r="C570" s="4">
        <v>42825</v>
      </c>
      <c r="D570" s="160" t="s">
        <v>1056</v>
      </c>
      <c r="E570" s="80">
        <v>-74.143625490999995</v>
      </c>
      <c r="F570" s="80">
        <v>4.0000000000000001E-3</v>
      </c>
      <c r="G570" s="80">
        <v>3333.248342628</v>
      </c>
      <c r="H570" s="80">
        <v>0.17699999999999999</v>
      </c>
      <c r="I570" s="80">
        <v>-4.5730441675095879</v>
      </c>
      <c r="J570" s="80">
        <v>0.1292187917378258</v>
      </c>
      <c r="K570" s="80">
        <v>-14.599110378080816</v>
      </c>
      <c r="L570" s="80">
        <v>0.30698853760063483</v>
      </c>
      <c r="M570" s="160" t="s">
        <v>1057</v>
      </c>
      <c r="N570" s="56">
        <v>16</v>
      </c>
      <c r="O570" s="56">
        <v>38</v>
      </c>
      <c r="P570" s="82"/>
      <c r="Q570" s="82"/>
      <c r="R570" s="82"/>
      <c r="S570" s="82"/>
      <c r="T570" s="82"/>
      <c r="U570" s="82"/>
    </row>
    <row r="571" spans="1:21" x14ac:dyDescent="0.2">
      <c r="A571" s="56">
        <v>3060</v>
      </c>
      <c r="B571" s="56">
        <v>1089</v>
      </c>
      <c r="C571" s="4">
        <v>42837</v>
      </c>
      <c r="D571" s="160" t="s">
        <v>1058</v>
      </c>
      <c r="E571" s="80">
        <v>-33.879618135999998</v>
      </c>
      <c r="F571" s="80">
        <v>4.0000000000000001E-3</v>
      </c>
      <c r="G571" s="80">
        <v>-42.708306724000003</v>
      </c>
      <c r="H571" s="80">
        <v>1.9E-2</v>
      </c>
      <c r="I571" s="80">
        <v>11.969660712709329</v>
      </c>
      <c r="J571" s="80">
        <v>0.10952427003004389</v>
      </c>
      <c r="K571" s="80">
        <v>39.488669452652168</v>
      </c>
      <c r="L571" s="80">
        <v>0.49221440443501696</v>
      </c>
      <c r="N571" s="56">
        <v>20</v>
      </c>
      <c r="O571" s="56">
        <v>40</v>
      </c>
    </row>
    <row r="572" spans="1:21" x14ac:dyDescent="0.2">
      <c r="A572" s="56">
        <v>3062</v>
      </c>
      <c r="B572" s="56">
        <v>1090</v>
      </c>
      <c r="C572" s="4">
        <v>42839</v>
      </c>
      <c r="D572" s="160" t="s">
        <v>1059</v>
      </c>
      <c r="E572" s="80">
        <v>-103.89920379399999</v>
      </c>
      <c r="F572" s="80">
        <v>5.0000000000000001E-3</v>
      </c>
      <c r="G572" s="80">
        <v>-295.18942285799994</v>
      </c>
      <c r="H572" s="80">
        <v>2.1999999999999999E-2</v>
      </c>
      <c r="I572" s="80">
        <v>-4.431905133128855</v>
      </c>
      <c r="J572" s="80">
        <v>0.12137799895676261</v>
      </c>
      <c r="K572" s="80">
        <v>-47.646871677180734</v>
      </c>
      <c r="L572" s="80">
        <v>0.68156153315806001</v>
      </c>
      <c r="N572" s="56">
        <v>20</v>
      </c>
      <c r="O572" s="56">
        <v>35</v>
      </c>
      <c r="P572" s="82"/>
      <c r="Q572" s="82"/>
      <c r="R572" s="82"/>
      <c r="S572" s="82"/>
      <c r="T572" s="82"/>
      <c r="U572" s="82"/>
    </row>
    <row r="573" spans="1:21" x14ac:dyDescent="0.2">
      <c r="A573" s="56">
        <v>3065</v>
      </c>
      <c r="B573" s="56">
        <v>1091</v>
      </c>
      <c r="C573" s="4">
        <v>42841</v>
      </c>
      <c r="D573" s="160" t="s">
        <v>1060</v>
      </c>
      <c r="E573" s="80">
        <v>-95.229846163000005</v>
      </c>
      <c r="F573" s="80">
        <v>4.0000000000000001E-3</v>
      </c>
      <c r="G573" s="80">
        <v>-60.943482623000001</v>
      </c>
      <c r="H573" s="80">
        <v>2.1999999999999999E-2</v>
      </c>
      <c r="I573" s="80">
        <v>-10.385262257060999</v>
      </c>
      <c r="J573" s="80">
        <v>0.12888240064483661</v>
      </c>
      <c r="K573" s="80">
        <v>-10.005256257218488</v>
      </c>
      <c r="L573" s="80">
        <v>0.56347374174127118</v>
      </c>
      <c r="N573" s="56">
        <v>15</v>
      </c>
      <c r="O573" s="56">
        <v>40</v>
      </c>
      <c r="P573" s="82"/>
      <c r="Q573" s="82"/>
      <c r="R573" s="82"/>
      <c r="S573" s="82"/>
      <c r="T573" s="82"/>
      <c r="U573" s="82"/>
    </row>
    <row r="574" spans="1:21" x14ac:dyDescent="0.2">
      <c r="A574" s="56">
        <v>3068</v>
      </c>
      <c r="B574" s="56">
        <v>1092</v>
      </c>
      <c r="C574" s="4">
        <v>42844</v>
      </c>
      <c r="D574" s="160" t="s">
        <v>1061</v>
      </c>
      <c r="E574" s="80">
        <v>-37.600149213999998</v>
      </c>
      <c r="F574" s="80">
        <v>3.0000000000000001E-3</v>
      </c>
      <c r="G574" s="80">
        <v>-144.79555998200001</v>
      </c>
      <c r="H574" s="80">
        <v>0.02</v>
      </c>
      <c r="I574" s="80">
        <v>1.6756855236890189</v>
      </c>
      <c r="J574" s="80">
        <v>0.1145126562414148</v>
      </c>
      <c r="K574" s="80">
        <v>7.3314006362386053</v>
      </c>
      <c r="L574" s="80">
        <v>0.53774564784564283</v>
      </c>
      <c r="N574" s="56">
        <v>20</v>
      </c>
      <c r="O574" s="56">
        <v>40</v>
      </c>
    </row>
    <row r="575" spans="1:21" x14ac:dyDescent="0.2">
      <c r="A575" s="56">
        <v>3071</v>
      </c>
      <c r="B575" s="56">
        <v>1093</v>
      </c>
      <c r="C575" s="4">
        <v>42846</v>
      </c>
      <c r="D575" s="160" t="s">
        <v>1062</v>
      </c>
      <c r="E575" s="80">
        <v>-93.700016191000003</v>
      </c>
      <c r="F575" s="80">
        <v>7.0000000000000001E-3</v>
      </c>
      <c r="G575" s="80">
        <v>374.72959744800005</v>
      </c>
      <c r="H575" s="80">
        <v>0.03</v>
      </c>
      <c r="I575" s="80">
        <v>-15.926158811385594</v>
      </c>
      <c r="J575" s="80">
        <v>0.11050834154406997</v>
      </c>
      <c r="K575" s="80">
        <v>-95.987715169763348</v>
      </c>
      <c r="L575" s="80">
        <v>0.45387523145423825</v>
      </c>
      <c r="N575" s="56">
        <v>20</v>
      </c>
      <c r="O575" s="56">
        <v>40</v>
      </c>
      <c r="P575" s="82"/>
      <c r="Q575" s="82"/>
      <c r="R575" s="82"/>
      <c r="S575" s="82"/>
      <c r="T575" s="82"/>
      <c r="U575" s="82"/>
    </row>
    <row r="576" spans="1:21" x14ac:dyDescent="0.2">
      <c r="A576" s="56">
        <v>3073</v>
      </c>
      <c r="B576" s="56">
        <v>1094</v>
      </c>
      <c r="C576" s="4">
        <v>42848</v>
      </c>
      <c r="D576" s="160" t="s">
        <v>1063</v>
      </c>
      <c r="E576" s="80">
        <v>-36.653157487000001</v>
      </c>
      <c r="F576" s="80">
        <v>7.0000000000000001E-3</v>
      </c>
      <c r="G576" s="80">
        <v>-58.499078981000004</v>
      </c>
      <c r="H576" s="80">
        <v>2.1999999999999999E-2</v>
      </c>
      <c r="I576" s="80">
        <v>-0.71743618697428513</v>
      </c>
      <c r="J576" s="80">
        <v>0.12703012675576641</v>
      </c>
      <c r="K576" s="80">
        <v>-1.6972854900418888</v>
      </c>
      <c r="L576" s="80">
        <v>0.52404588739204327</v>
      </c>
      <c r="N576" s="56">
        <v>19</v>
      </c>
      <c r="O576" s="56">
        <v>39</v>
      </c>
    </row>
    <row r="577" spans="1:24" x14ac:dyDescent="0.2">
      <c r="A577" s="56">
        <v>3075</v>
      </c>
      <c r="B577" s="56">
        <v>1095</v>
      </c>
      <c r="C577" s="4">
        <v>42850</v>
      </c>
      <c r="D577" s="160" t="s">
        <v>1064</v>
      </c>
      <c r="E577" s="80">
        <v>-33.663823480000005</v>
      </c>
      <c r="F577" s="80">
        <v>4.0000000000000001E-3</v>
      </c>
      <c r="G577" s="80">
        <v>-25.316158409</v>
      </c>
      <c r="H577" s="80">
        <v>2.3E-2</v>
      </c>
      <c r="I577" s="80">
        <v>13.968921271167334</v>
      </c>
      <c r="J577" s="80">
        <v>0.11583815579864398</v>
      </c>
      <c r="K577" s="80">
        <v>45.518538653307687</v>
      </c>
      <c r="L577" s="80">
        <v>0.5572050915650707</v>
      </c>
      <c r="N577" s="56">
        <v>20</v>
      </c>
      <c r="O577" s="56">
        <v>40</v>
      </c>
    </row>
    <row r="578" spans="1:24" s="96" customFormat="1" x14ac:dyDescent="0.2">
      <c r="A578" s="94">
        <v>3128</v>
      </c>
      <c r="B578" s="94">
        <v>1096</v>
      </c>
      <c r="C578" s="95">
        <v>42958</v>
      </c>
      <c r="D578" s="162" t="s">
        <v>1065</v>
      </c>
      <c r="E578" s="97">
        <v>-25.714102491999999</v>
      </c>
      <c r="F578" s="97">
        <v>7.0000000000000001E-3</v>
      </c>
      <c r="G578" s="97">
        <v>-153.66804895200002</v>
      </c>
      <c r="H578" s="97">
        <v>1.7999999999999999E-2</v>
      </c>
      <c r="I578" s="97">
        <v>3.1756442472057334</v>
      </c>
      <c r="J578" s="97">
        <v>0.29755828349919977</v>
      </c>
      <c r="K578" s="97">
        <v>7.9305423721847124</v>
      </c>
      <c r="L578" s="97">
        <v>0.59362705351276812</v>
      </c>
      <c r="M578" s="162"/>
      <c r="N578" s="94">
        <v>14</v>
      </c>
      <c r="O578" s="94">
        <v>31</v>
      </c>
      <c r="P578" s="97"/>
      <c r="Q578" s="97"/>
      <c r="R578" s="97"/>
      <c r="S578" s="97"/>
      <c r="T578" s="97"/>
      <c r="U578" s="97"/>
      <c r="V578" s="162"/>
      <c r="W578" s="133"/>
      <c r="X578" s="133"/>
    </row>
    <row r="579" spans="1:24" x14ac:dyDescent="0.2">
      <c r="A579" s="56">
        <v>3130</v>
      </c>
      <c r="B579" s="56">
        <v>1097</v>
      </c>
      <c r="C579" s="4">
        <v>42960</v>
      </c>
      <c r="D579" s="160" t="s">
        <v>1066</v>
      </c>
      <c r="E579" s="80">
        <v>-47.773325853999999</v>
      </c>
      <c r="F579" s="80">
        <v>3.0000000000000001E-3</v>
      </c>
      <c r="G579" s="80">
        <v>-318.49029129299993</v>
      </c>
      <c r="H579" s="80">
        <v>2.1999999999999999E-2</v>
      </c>
      <c r="I579" s="80">
        <v>-1.9610359032364855</v>
      </c>
      <c r="J579" s="80">
        <v>0.24354777381981405</v>
      </c>
      <c r="K579" s="80">
        <v>-39.768146801294371</v>
      </c>
      <c r="L579" s="80">
        <v>0.77435237369024879</v>
      </c>
      <c r="N579" s="56">
        <v>20</v>
      </c>
      <c r="O579" s="56">
        <v>40</v>
      </c>
      <c r="P579" s="82"/>
      <c r="Q579" s="82"/>
      <c r="R579" s="82"/>
      <c r="S579" s="82"/>
      <c r="T579" s="82"/>
      <c r="U579" s="82"/>
    </row>
    <row r="580" spans="1:24" x14ac:dyDescent="0.2">
      <c r="A580" s="56">
        <v>3133</v>
      </c>
      <c r="B580" s="56">
        <v>1098</v>
      </c>
      <c r="C580" s="4">
        <v>42962</v>
      </c>
      <c r="D580" s="160" t="s">
        <v>1067</v>
      </c>
      <c r="E580" s="80">
        <v>-53.663363920000002</v>
      </c>
      <c r="F580" s="80">
        <v>4.0000000000000001E-3</v>
      </c>
      <c r="G580" s="80">
        <v>5.394132151</v>
      </c>
      <c r="H580" s="80">
        <v>1.9E-2</v>
      </c>
      <c r="I580" s="80">
        <v>-4.3772051367563236</v>
      </c>
      <c r="J580" s="80">
        <v>0.2217651337297355</v>
      </c>
      <c r="K580" s="80">
        <v>43.25140710945341</v>
      </c>
      <c r="L580" s="80">
        <v>0.53017395136000145</v>
      </c>
      <c r="N580" s="56">
        <v>15</v>
      </c>
      <c r="O580" s="56">
        <v>40</v>
      </c>
      <c r="P580" s="82"/>
      <c r="Q580" s="82"/>
      <c r="R580" s="82"/>
      <c r="S580" s="82"/>
      <c r="T580" s="82"/>
      <c r="U580" s="82"/>
    </row>
    <row r="581" spans="1:24" x14ac:dyDescent="0.2">
      <c r="A581" s="56">
        <v>3136</v>
      </c>
      <c r="B581" s="56">
        <v>1099</v>
      </c>
      <c r="C581" s="4">
        <v>42964</v>
      </c>
      <c r="D581" s="160" t="s">
        <v>1068</v>
      </c>
      <c r="E581" s="80">
        <v>-54.093026494000007</v>
      </c>
      <c r="F581" s="80">
        <v>4.0000000000000001E-3</v>
      </c>
      <c r="G581" s="80">
        <v>665.18364914300003</v>
      </c>
      <c r="H581" s="80">
        <v>5.0999999999999997E-2</v>
      </c>
      <c r="I581" s="80">
        <v>-6.4071058745527321</v>
      </c>
      <c r="J581" s="80">
        <v>0.33215087484417621</v>
      </c>
      <c r="K581" s="80">
        <v>98.667878025607394</v>
      </c>
      <c r="L581" s="80">
        <v>0.61351839811740672</v>
      </c>
      <c r="N581" s="56">
        <v>20</v>
      </c>
      <c r="O581" s="56">
        <v>26</v>
      </c>
      <c r="P581" s="82"/>
      <c r="Q581" s="82"/>
      <c r="R581" s="82"/>
      <c r="S581" s="82"/>
      <c r="T581" s="82"/>
      <c r="U581" s="82"/>
    </row>
    <row r="582" spans="1:24" x14ac:dyDescent="0.2">
      <c r="A582" s="56">
        <v>3140</v>
      </c>
      <c r="B582" s="56">
        <v>1100</v>
      </c>
      <c r="C582" s="4">
        <v>42966</v>
      </c>
      <c r="D582" s="160" t="s">
        <v>1069</v>
      </c>
      <c r="E582" s="80">
        <v>-90.256935384999991</v>
      </c>
      <c r="F582" s="80">
        <v>3.0000000000000001E-3</v>
      </c>
      <c r="G582" s="80">
        <v>-57.290049466000006</v>
      </c>
      <c r="H582" s="80">
        <v>1.9E-2</v>
      </c>
      <c r="I582" s="80">
        <v>-9.9934481215716566</v>
      </c>
      <c r="J582" s="80">
        <v>0.31025284492363614</v>
      </c>
      <c r="K582" s="80">
        <v>-11.614424779767818</v>
      </c>
      <c r="L582" s="80">
        <v>0.57066135443795518</v>
      </c>
      <c r="N582" s="56">
        <v>20</v>
      </c>
      <c r="O582" s="56">
        <v>40</v>
      </c>
      <c r="P582" s="82"/>
      <c r="Q582" s="82"/>
      <c r="R582" s="82"/>
      <c r="S582" s="82"/>
      <c r="T582" s="82"/>
      <c r="U582" s="82"/>
    </row>
    <row r="583" spans="1:24" x14ac:dyDescent="0.2">
      <c r="A583" s="56">
        <v>3142</v>
      </c>
      <c r="B583" s="56">
        <v>1101</v>
      </c>
      <c r="C583" s="4">
        <v>42969</v>
      </c>
      <c r="D583" s="166" t="s">
        <v>1070</v>
      </c>
      <c r="E583" s="80">
        <v>-79.266821833000009</v>
      </c>
      <c r="F583" s="80">
        <v>4.0000000000000001E-3</v>
      </c>
      <c r="G583" s="80">
        <v>402.65488616799996</v>
      </c>
      <c r="H583" s="80">
        <v>3.2000000000000001E-2</v>
      </c>
      <c r="I583" s="80">
        <v>-15.959481654552853</v>
      </c>
      <c r="J583" s="80">
        <v>0.23749889159517501</v>
      </c>
      <c r="K583" s="80">
        <v>-68.161946915451523</v>
      </c>
      <c r="L583" s="80">
        <v>0.54710917675867565</v>
      </c>
      <c r="M583" s="170"/>
      <c r="N583" s="56">
        <v>20</v>
      </c>
      <c r="O583" s="56">
        <v>40</v>
      </c>
      <c r="P583" s="82"/>
      <c r="Q583" s="82"/>
      <c r="R583" s="82"/>
      <c r="S583" s="82"/>
      <c r="T583" s="82"/>
      <c r="U583" s="82"/>
    </row>
    <row r="584" spans="1:24" x14ac:dyDescent="0.2">
      <c r="A584" s="56">
        <v>3144</v>
      </c>
      <c r="B584" s="56">
        <v>1102</v>
      </c>
      <c r="C584" s="4">
        <v>42971</v>
      </c>
      <c r="D584" s="160" t="s">
        <v>1071</v>
      </c>
      <c r="E584" s="80">
        <v>-53.158558563999996</v>
      </c>
      <c r="F584" s="80">
        <v>4.0000000000000001E-3</v>
      </c>
      <c r="G584" s="80">
        <v>0.30115412399999641</v>
      </c>
      <c r="H584" s="80">
        <v>0.02</v>
      </c>
      <c r="I584" s="80">
        <v>-4.6457695745144578</v>
      </c>
      <c r="J584" s="80">
        <v>0.16191560674728164</v>
      </c>
      <c r="K584" s="80">
        <v>39.672380084319059</v>
      </c>
      <c r="L584" s="80">
        <v>0.61819388642220163</v>
      </c>
      <c r="N584" s="56">
        <v>20</v>
      </c>
      <c r="O584" s="56">
        <v>40</v>
      </c>
      <c r="P584" s="82"/>
      <c r="Q584" s="82"/>
      <c r="R584" s="82"/>
      <c r="S584" s="82"/>
      <c r="T584" s="82"/>
      <c r="U584" s="82"/>
    </row>
    <row r="585" spans="1:24" x14ac:dyDescent="0.2">
      <c r="A585" s="56">
        <v>3146</v>
      </c>
      <c r="B585" s="56">
        <v>1103</v>
      </c>
      <c r="C585" s="4">
        <v>42973</v>
      </c>
      <c r="D585" s="160" t="s">
        <v>1072</v>
      </c>
      <c r="E585" s="80">
        <v>-35.889205869999998</v>
      </c>
      <c r="F585" s="80">
        <v>5.0000000000000001E-3</v>
      </c>
      <c r="G585" s="80">
        <v>-149.722943305</v>
      </c>
      <c r="H585" s="80">
        <v>5.8000000000000003E-2</v>
      </c>
      <c r="I585" s="80">
        <v>2.1697492877903457</v>
      </c>
      <c r="J585" s="80">
        <v>0.25059574187708272</v>
      </c>
      <c r="K585" s="80">
        <v>8.433062643889766</v>
      </c>
      <c r="L585" s="80">
        <v>1.3479679541864653</v>
      </c>
      <c r="M585" s="160" t="s">
        <v>1090</v>
      </c>
      <c r="N585" s="56">
        <v>15</v>
      </c>
      <c r="O585" s="56">
        <v>12</v>
      </c>
    </row>
    <row r="586" spans="1:24" x14ac:dyDescent="0.2">
      <c r="A586" s="56">
        <v>3148</v>
      </c>
      <c r="B586" s="56">
        <v>1104</v>
      </c>
      <c r="C586" s="4">
        <v>42976</v>
      </c>
      <c r="D586" s="160" t="s">
        <v>1073</v>
      </c>
      <c r="E586" s="80">
        <v>-31.352701249000003</v>
      </c>
      <c r="F586" s="80">
        <v>3.0000000000000001E-3</v>
      </c>
      <c r="G586" s="80">
        <v>-132.44934574400003</v>
      </c>
      <c r="H586" s="80">
        <v>2.1000000000000001E-2</v>
      </c>
      <c r="I586" s="80">
        <v>2.9922533362898296</v>
      </c>
      <c r="J586" s="80">
        <v>0.16662809244843041</v>
      </c>
      <c r="K586" s="80">
        <v>8.3480121422312425</v>
      </c>
      <c r="L586" s="80">
        <v>0.60830072239029798</v>
      </c>
      <c r="N586" s="56">
        <v>20</v>
      </c>
      <c r="O586" s="56">
        <v>40</v>
      </c>
    </row>
    <row r="587" spans="1:24" x14ac:dyDescent="0.2">
      <c r="A587" s="56">
        <v>3150</v>
      </c>
      <c r="B587" s="56">
        <v>1105</v>
      </c>
      <c r="C587" s="4">
        <v>42978</v>
      </c>
      <c r="D587" s="160" t="s">
        <v>1074</v>
      </c>
      <c r="E587" s="80">
        <v>-37.874709378999995</v>
      </c>
      <c r="F587" s="80">
        <v>3.0000000000000001E-3</v>
      </c>
      <c r="G587" s="80">
        <v>-144.541522652</v>
      </c>
      <c r="H587" s="80">
        <v>0.02</v>
      </c>
      <c r="I587" s="80">
        <v>3.0383794369674977</v>
      </c>
      <c r="J587" s="80">
        <v>0.17869810166118633</v>
      </c>
      <c r="K587" s="80">
        <v>7.5019233059543389</v>
      </c>
      <c r="L587" s="80">
        <v>0.65228011613073866</v>
      </c>
      <c r="N587" s="56">
        <v>20</v>
      </c>
      <c r="O587" s="56">
        <v>40</v>
      </c>
    </row>
    <row r="588" spans="1:24" x14ac:dyDescent="0.2">
      <c r="A588" s="56">
        <v>3154</v>
      </c>
      <c r="B588" s="56">
        <v>1106</v>
      </c>
      <c r="C588" s="4">
        <v>42979</v>
      </c>
      <c r="D588" s="160" t="s">
        <v>1075</v>
      </c>
      <c r="E588" s="80">
        <v>-35.719652926000002</v>
      </c>
      <c r="F588" s="80">
        <v>3.0000000000000001E-3</v>
      </c>
      <c r="G588" s="80">
        <v>-146.70648523100002</v>
      </c>
      <c r="H588" s="80">
        <v>1.9E-2</v>
      </c>
      <c r="I588" s="80">
        <v>3.1409251421188333</v>
      </c>
      <c r="J588" s="80">
        <v>0.18409398833663077</v>
      </c>
      <c r="K588" s="80">
        <v>6.490948687700282</v>
      </c>
      <c r="L588" s="80">
        <v>0.60667541584848217</v>
      </c>
      <c r="N588" s="56">
        <v>19</v>
      </c>
      <c r="O588" s="56">
        <v>31</v>
      </c>
    </row>
    <row r="589" spans="1:24" x14ac:dyDescent="0.2">
      <c r="A589" s="56">
        <v>3156</v>
      </c>
      <c r="B589" s="56">
        <v>1107</v>
      </c>
      <c r="C589" s="4">
        <v>42983</v>
      </c>
      <c r="D589" s="160" t="s">
        <v>1077</v>
      </c>
      <c r="E589" s="80">
        <v>-36.499981815999995</v>
      </c>
      <c r="F589" s="80">
        <v>4.0000000000000001E-3</v>
      </c>
      <c r="G589" s="80">
        <v>-150.25548081899998</v>
      </c>
      <c r="H589" s="80">
        <v>2.4E-2</v>
      </c>
      <c r="I589" s="80">
        <v>3.6604545520315668</v>
      </c>
      <c r="J589" s="80">
        <v>0.25605695476963813</v>
      </c>
      <c r="K589" s="80">
        <v>8.3732407806014209</v>
      </c>
      <c r="L589" s="80">
        <v>0.76057313875050658</v>
      </c>
      <c r="N589" s="56">
        <v>19</v>
      </c>
      <c r="O589" s="56">
        <v>31</v>
      </c>
    </row>
    <row r="590" spans="1:24" x14ac:dyDescent="0.2">
      <c r="A590" s="56">
        <v>3158</v>
      </c>
      <c r="B590" s="56">
        <v>1108</v>
      </c>
      <c r="C590" s="4">
        <v>42984</v>
      </c>
      <c r="D590" s="160" t="s">
        <v>1078</v>
      </c>
      <c r="E590" s="80">
        <v>-35.789015493999997</v>
      </c>
      <c r="F590" s="80">
        <v>3.0000000000000001E-3</v>
      </c>
      <c r="G590" s="80">
        <v>-148.57130740900001</v>
      </c>
      <c r="H590" s="80">
        <v>2.4E-2</v>
      </c>
      <c r="I590" s="80">
        <v>3.4351301536028611</v>
      </c>
      <c r="J590" s="80">
        <v>0.32020488947702758</v>
      </c>
      <c r="K590" s="80">
        <v>4.4379746350182714</v>
      </c>
      <c r="L590" s="80">
        <v>0.68291653454396961</v>
      </c>
      <c r="N590" s="56">
        <v>19</v>
      </c>
      <c r="O590" s="56">
        <v>30</v>
      </c>
    </row>
    <row r="591" spans="1:24" x14ac:dyDescent="0.2">
      <c r="A591" s="56">
        <v>3160</v>
      </c>
      <c r="B591" s="56">
        <v>1109</v>
      </c>
      <c r="C591" s="4">
        <v>42986</v>
      </c>
      <c r="D591" s="160" t="s">
        <v>1076</v>
      </c>
      <c r="E591" s="80">
        <v>-36.496128339999999</v>
      </c>
      <c r="F591" s="80">
        <v>3.0000000000000001E-3</v>
      </c>
      <c r="G591" s="80">
        <v>-151.267866623</v>
      </c>
      <c r="H591" s="80">
        <v>1.9E-2</v>
      </c>
      <c r="I591" s="80">
        <v>4.6951201177742874</v>
      </c>
      <c r="J591" s="80">
        <v>0.24809880453724595</v>
      </c>
      <c r="K591" s="80">
        <v>7.1801039879604289</v>
      </c>
      <c r="L591" s="80">
        <v>0.61034806269209751</v>
      </c>
      <c r="N591" s="56">
        <v>20</v>
      </c>
      <c r="O591" s="56">
        <v>39</v>
      </c>
    </row>
    <row r="592" spans="1:24" x14ac:dyDescent="0.2">
      <c r="A592" s="56">
        <v>3162</v>
      </c>
      <c r="B592" s="56">
        <v>1110</v>
      </c>
      <c r="C592" s="4">
        <v>42987</v>
      </c>
      <c r="D592" s="160" t="s">
        <v>1079</v>
      </c>
      <c r="E592" s="80">
        <v>-41.068277614000003</v>
      </c>
      <c r="F592" s="80">
        <v>3.0000000000000001E-3</v>
      </c>
      <c r="G592" s="80">
        <v>-146.217228151</v>
      </c>
      <c r="H592" s="80">
        <v>0.02</v>
      </c>
      <c r="I592" s="80">
        <v>4.5621876135679695</v>
      </c>
      <c r="J592" s="80">
        <v>0.27547131603785913</v>
      </c>
      <c r="K592" s="80">
        <v>11.873179220244445</v>
      </c>
      <c r="L592" s="80">
        <v>0.65562667448489631</v>
      </c>
      <c r="N592" s="56">
        <v>20</v>
      </c>
      <c r="O592" s="56">
        <v>40</v>
      </c>
    </row>
    <row r="593" spans="1:15" x14ac:dyDescent="0.2">
      <c r="A593" s="56">
        <v>3166</v>
      </c>
      <c r="B593" s="56">
        <v>1112</v>
      </c>
      <c r="C593" s="4">
        <v>42990</v>
      </c>
      <c r="D593" s="160" t="s">
        <v>1080</v>
      </c>
      <c r="E593" s="80">
        <v>-36.326575395999996</v>
      </c>
      <c r="F593" s="80">
        <v>3.0000000000000001E-3</v>
      </c>
      <c r="G593" s="80">
        <v>-151.10979895100002</v>
      </c>
      <c r="H593" s="80">
        <v>2.1000000000000001E-2</v>
      </c>
      <c r="I593" s="80">
        <v>4.1163487939925858</v>
      </c>
      <c r="J593" s="80">
        <v>0.27910767171066653</v>
      </c>
      <c r="K593" s="80">
        <v>5.3321288112262444</v>
      </c>
      <c r="L593" s="80">
        <v>0.63105293501362247</v>
      </c>
      <c r="N593" s="56">
        <v>19</v>
      </c>
      <c r="O593" s="56">
        <v>38</v>
      </c>
    </row>
    <row r="594" spans="1:15" x14ac:dyDescent="0.2">
      <c r="A594" s="56">
        <v>3182</v>
      </c>
      <c r="B594" s="56">
        <v>1114</v>
      </c>
      <c r="C594" s="4">
        <v>43034</v>
      </c>
      <c r="D594" s="160" t="s">
        <v>1081</v>
      </c>
      <c r="E594" s="80">
        <v>-47.118234933999993</v>
      </c>
      <c r="F594" s="80">
        <v>4.0000000000000001E-3</v>
      </c>
      <c r="G594" s="80">
        <v>-158.14098771799999</v>
      </c>
      <c r="H594" s="80">
        <v>0.02</v>
      </c>
      <c r="I594" s="80">
        <v>7.359768387856791</v>
      </c>
      <c r="J594" s="80">
        <v>0.12638001327036921</v>
      </c>
      <c r="K594" s="80">
        <v>22.285139852021409</v>
      </c>
      <c r="L594" s="80">
        <v>0.6357919706597599</v>
      </c>
      <c r="N594" s="56">
        <v>20</v>
      </c>
      <c r="O594" s="56">
        <v>40</v>
      </c>
    </row>
    <row r="595" spans="1:15" x14ac:dyDescent="0.2">
      <c r="A595" s="56">
        <v>3185</v>
      </c>
      <c r="B595" s="56">
        <v>1115</v>
      </c>
      <c r="C595" s="4">
        <v>43036</v>
      </c>
      <c r="D595" s="160" t="s">
        <v>1082</v>
      </c>
      <c r="E595" s="80">
        <v>-33.805999999999997</v>
      </c>
      <c r="F595" s="80">
        <v>3.0000000000000001E-3</v>
      </c>
      <c r="G595" s="80">
        <v>-32.454999999999998</v>
      </c>
      <c r="H595" s="80">
        <v>2.1999999999999999E-2</v>
      </c>
      <c r="I595" s="80">
        <v>12.670999999999999</v>
      </c>
      <c r="J595" s="80">
        <v>0.113</v>
      </c>
      <c r="K595" s="80">
        <v>40.744999999999997</v>
      </c>
      <c r="L595" s="80">
        <v>0.537937624</v>
      </c>
      <c r="N595" s="56">
        <v>20</v>
      </c>
      <c r="O595" s="56">
        <v>40</v>
      </c>
    </row>
    <row r="596" spans="1:15" x14ac:dyDescent="0.2">
      <c r="A596" s="56">
        <v>3188</v>
      </c>
      <c r="B596" s="56">
        <v>1116</v>
      </c>
      <c r="C596" s="4">
        <v>43039</v>
      </c>
      <c r="D596" s="160" t="s">
        <v>1083</v>
      </c>
      <c r="E596" s="80">
        <v>-33.058827747999999</v>
      </c>
      <c r="F596" s="80">
        <v>4.0000000000000001E-3</v>
      </c>
      <c r="G596" s="80">
        <v>-136.336116893</v>
      </c>
      <c r="H596" s="80">
        <v>3.5000000000000003E-2</v>
      </c>
      <c r="I596" s="80">
        <v>2.7910148952610125</v>
      </c>
      <c r="J596" s="80">
        <v>0.1630618611454577</v>
      </c>
      <c r="K596" s="80">
        <v>7.0945244390505646</v>
      </c>
      <c r="L596" s="80">
        <v>0.95763488809900366</v>
      </c>
      <c r="M596" s="160" t="s">
        <v>1089</v>
      </c>
      <c r="N596" s="56">
        <v>12</v>
      </c>
      <c r="O596" s="56">
        <v>17</v>
      </c>
    </row>
    <row r="597" spans="1:15" x14ac:dyDescent="0.2">
      <c r="A597" s="56">
        <v>3190</v>
      </c>
      <c r="B597" s="56">
        <v>1117</v>
      </c>
      <c r="C597" s="4">
        <v>43040</v>
      </c>
      <c r="D597" s="160" t="s">
        <v>1084</v>
      </c>
      <c r="E597" s="80">
        <v>-33.309303688</v>
      </c>
      <c r="F597" s="80">
        <v>3.0000000000000001E-3</v>
      </c>
      <c r="G597" s="80">
        <v>-136.49888895999999</v>
      </c>
      <c r="H597" s="80">
        <v>2.5000000000000001E-2</v>
      </c>
      <c r="I597" s="80">
        <v>2.7328235083803332</v>
      </c>
      <c r="J597" s="80">
        <v>0.12256511683117925</v>
      </c>
      <c r="K597" s="80">
        <v>8.3769774640516381</v>
      </c>
      <c r="L597" s="80">
        <v>0.71209586928597457</v>
      </c>
      <c r="N597" s="56">
        <v>20</v>
      </c>
      <c r="O597" s="56">
        <v>30</v>
      </c>
    </row>
    <row r="598" spans="1:15" x14ac:dyDescent="0.2">
      <c r="A598" s="56">
        <v>3192</v>
      </c>
      <c r="B598" s="56">
        <v>1118</v>
      </c>
      <c r="C598" s="4">
        <v>43040</v>
      </c>
      <c r="D598" s="160" t="s">
        <v>1085</v>
      </c>
      <c r="E598" s="80">
        <v>-31.645565425000001</v>
      </c>
      <c r="F598" s="80">
        <v>3.0000000000000001E-3</v>
      </c>
      <c r="G598" s="80">
        <v>-122.52495405200001</v>
      </c>
      <c r="H598" s="80">
        <v>0.02</v>
      </c>
      <c r="I598" s="80">
        <v>2.5344372284683558</v>
      </c>
      <c r="J598" s="80">
        <v>0.13720343502175728</v>
      </c>
      <c r="K598" s="80">
        <v>9.2382930660830365</v>
      </c>
      <c r="L598" s="80">
        <v>0.6280683574905771</v>
      </c>
      <c r="M598" s="160" t="s">
        <v>1087</v>
      </c>
      <c r="N598" s="56">
        <v>16</v>
      </c>
      <c r="O598" s="56">
        <v>39</v>
      </c>
    </row>
    <row r="599" spans="1:15" x14ac:dyDescent="0.2">
      <c r="A599" s="56">
        <v>3194</v>
      </c>
      <c r="B599" s="56">
        <v>1118</v>
      </c>
      <c r="C599" s="4">
        <v>43042</v>
      </c>
      <c r="D599" s="160" t="s">
        <v>1086</v>
      </c>
      <c r="E599" s="80">
        <v>-31.455781732000002</v>
      </c>
      <c r="F599" s="80">
        <v>4.0000000000000001E-3</v>
      </c>
      <c r="G599" s="80">
        <v>-122.52495405200001</v>
      </c>
      <c r="H599" s="80">
        <v>0.02</v>
      </c>
      <c r="I599" s="80">
        <v>3.1154913629489744</v>
      </c>
      <c r="J599" s="80">
        <v>0.14457965758337546</v>
      </c>
      <c r="K599" s="80">
        <v>9.2382930660830365</v>
      </c>
      <c r="L599" s="80">
        <v>0.6280683574905771</v>
      </c>
      <c r="M599" s="160" t="s">
        <v>1088</v>
      </c>
      <c r="N599" s="56">
        <v>17</v>
      </c>
      <c r="O599" s="56">
        <v>39</v>
      </c>
    </row>
    <row r="600" spans="1:15" x14ac:dyDescent="0.2">
      <c r="A600" s="56">
        <v>3195</v>
      </c>
      <c r="B600" s="56">
        <v>1119</v>
      </c>
      <c r="C600" s="4">
        <v>43043</v>
      </c>
      <c r="D600" s="160" t="s">
        <v>1102</v>
      </c>
      <c r="E600" s="80">
        <v>-12.237533550999999</v>
      </c>
      <c r="F600" s="80">
        <v>4.0000000000000001E-3</v>
      </c>
      <c r="G600" s="80">
        <v>82.375911051999992</v>
      </c>
      <c r="H600" s="80">
        <v>2.9000000000000001E-2</v>
      </c>
      <c r="I600" s="80">
        <v>1.3030348009175352</v>
      </c>
      <c r="J600" s="80">
        <v>0.18657786264636148</v>
      </c>
      <c r="K600" s="80">
        <v>34.135217195702118</v>
      </c>
      <c r="L600" s="80">
        <v>0.67353580200731911</v>
      </c>
      <c r="N600" s="56">
        <v>13</v>
      </c>
      <c r="O600" s="56">
        <v>29</v>
      </c>
    </row>
    <row r="601" spans="1:15" x14ac:dyDescent="0.2">
      <c r="A601" s="56">
        <v>3197</v>
      </c>
      <c r="B601" s="56">
        <v>1120</v>
      </c>
      <c r="C601" s="4">
        <v>43044</v>
      </c>
      <c r="D601" s="160" t="s">
        <v>1103</v>
      </c>
      <c r="E601" s="80">
        <v>-31.854616498000002</v>
      </c>
      <c r="F601" s="80">
        <v>4.0000000000000001E-3</v>
      </c>
      <c r="G601" s="80">
        <v>-105.52327052199999</v>
      </c>
      <c r="H601" s="80">
        <v>2.1999999999999999E-2</v>
      </c>
      <c r="I601" s="80">
        <v>3.1082911520634582</v>
      </c>
      <c r="J601" s="80">
        <v>0.14015593363859738</v>
      </c>
      <c r="K601" s="80">
        <v>13.449888989460757</v>
      </c>
      <c r="L601" s="80">
        <v>0.64258621908333657</v>
      </c>
      <c r="N601" s="56">
        <v>16</v>
      </c>
      <c r="O601" s="56">
        <v>36</v>
      </c>
    </row>
    <row r="602" spans="1:15" x14ac:dyDescent="0.2">
      <c r="A602" s="56">
        <v>3199</v>
      </c>
      <c r="B602" s="56">
        <v>1121</v>
      </c>
      <c r="C602" s="4">
        <v>43045</v>
      </c>
      <c r="D602" s="160" t="s">
        <v>1104</v>
      </c>
      <c r="E602" s="80">
        <v>-44.957398267000002</v>
      </c>
      <c r="F602" s="80">
        <v>3.0000000000000001E-3</v>
      </c>
      <c r="G602" s="80">
        <v>-193.71844534500002</v>
      </c>
      <c r="H602" s="80">
        <v>0.02</v>
      </c>
      <c r="I602" s="80">
        <v>5.7169854830214639</v>
      </c>
      <c r="J602" s="80">
        <v>0.13394395073484991</v>
      </c>
      <c r="K602" s="80">
        <v>13.510867551233208</v>
      </c>
      <c r="L602" s="80">
        <v>0.65202350557557109</v>
      </c>
      <c r="N602" s="56">
        <v>20</v>
      </c>
      <c r="O602" s="56">
        <v>40</v>
      </c>
    </row>
    <row r="603" spans="1:15" x14ac:dyDescent="0.2">
      <c r="A603" s="56">
        <v>3201</v>
      </c>
      <c r="B603" s="56">
        <v>1122</v>
      </c>
      <c r="C603" s="4">
        <v>43047</v>
      </c>
      <c r="D603" s="160" t="s">
        <v>1105</v>
      </c>
      <c r="E603" s="80">
        <v>-40.822618519000002</v>
      </c>
      <c r="F603" s="80">
        <v>3.0000000000000001E-3</v>
      </c>
      <c r="G603" s="80">
        <v>-190.09606119500003</v>
      </c>
      <c r="H603" s="80">
        <v>0.02</v>
      </c>
      <c r="I603" s="80">
        <v>4.8428185140936275</v>
      </c>
      <c r="J603" s="80">
        <v>0.14543360305305328</v>
      </c>
      <c r="K603" s="80">
        <v>14.902088544579195</v>
      </c>
      <c r="L603" s="80">
        <v>0.66125878635530366</v>
      </c>
      <c r="N603" s="56">
        <v>20</v>
      </c>
      <c r="O603" s="56">
        <v>40</v>
      </c>
    </row>
    <row r="604" spans="1:15" x14ac:dyDescent="0.2">
      <c r="A604" s="56">
        <v>3205</v>
      </c>
      <c r="B604" s="56" t="s">
        <v>1106</v>
      </c>
      <c r="C604" s="4">
        <v>43049</v>
      </c>
      <c r="D604" s="160" t="s">
        <v>1107</v>
      </c>
      <c r="E604" s="80">
        <v>-27.851818303000002</v>
      </c>
      <c r="F604" s="80">
        <v>4.0000000000000001E-3</v>
      </c>
      <c r="G604" s="80">
        <v>-90.135194476999999</v>
      </c>
      <c r="H604" s="80">
        <v>2.3E-2</v>
      </c>
      <c r="I604" s="80">
        <v>2.3236188439108574</v>
      </c>
      <c r="J604" s="80">
        <v>0.17486049529714684</v>
      </c>
      <c r="K604" s="80">
        <v>18.568927526308343</v>
      </c>
      <c r="L604" s="80">
        <v>0.69983297832780611</v>
      </c>
      <c r="N604" s="56">
        <v>12</v>
      </c>
      <c r="O604" s="56">
        <v>35</v>
      </c>
    </row>
    <row r="605" spans="1:15" x14ac:dyDescent="0.2">
      <c r="A605" s="56">
        <v>3207</v>
      </c>
      <c r="B605" s="56">
        <v>1125</v>
      </c>
      <c r="C605" s="4">
        <v>43050</v>
      </c>
      <c r="D605" s="160" t="s">
        <v>1108</v>
      </c>
      <c r="E605" s="80">
        <v>-36.142571917000005</v>
      </c>
      <c r="F605" s="80">
        <v>4.0000000000000001E-3</v>
      </c>
      <c r="G605" s="80">
        <v>-151.95470829300001</v>
      </c>
      <c r="H605" s="80">
        <v>2.8000000000000001E-2</v>
      </c>
      <c r="I605" s="80">
        <v>2.3566488960475862</v>
      </c>
      <c r="J605" s="80">
        <v>0.18236529295149231</v>
      </c>
      <c r="K605" s="80">
        <v>7.3880110160666757</v>
      </c>
      <c r="L605" s="80">
        <v>0.81984944420643036</v>
      </c>
      <c r="N605" s="56">
        <v>14</v>
      </c>
      <c r="O605" s="56">
        <v>31</v>
      </c>
    </row>
    <row r="606" spans="1:15" x14ac:dyDescent="0.2">
      <c r="A606" s="56">
        <v>3209</v>
      </c>
      <c r="B606" s="56">
        <v>1126</v>
      </c>
      <c r="C606" s="4">
        <v>43051</v>
      </c>
      <c r="D606" s="160" t="s">
        <v>1109</v>
      </c>
      <c r="E606" s="80">
        <v>-36.631</v>
      </c>
      <c r="F606" s="80">
        <v>3.0000000000000001E-3</v>
      </c>
      <c r="G606" s="80">
        <v>-149.33247852</v>
      </c>
      <c r="H606" s="80">
        <v>2.1000000000000001E-2</v>
      </c>
      <c r="I606" s="80">
        <v>3.218793246392293</v>
      </c>
      <c r="J606" s="80">
        <v>0.15443222146423616</v>
      </c>
      <c r="K606" s="80">
        <v>8.9620680880881931</v>
      </c>
      <c r="L606" s="80">
        <v>0.64070022661269532</v>
      </c>
      <c r="N606" s="56">
        <v>20</v>
      </c>
      <c r="O606" s="56">
        <v>40</v>
      </c>
    </row>
    <row r="607" spans="1:15" x14ac:dyDescent="0.2">
      <c r="A607" s="56">
        <v>3211</v>
      </c>
      <c r="B607" s="56">
        <v>1127</v>
      </c>
      <c r="C607" s="4">
        <v>43053</v>
      </c>
      <c r="D607" s="160" t="s">
        <v>1110</v>
      </c>
      <c r="E607" s="80">
        <v>-44.043161086000005</v>
      </c>
      <c r="F607" s="80">
        <v>8.0000000000000002E-3</v>
      </c>
      <c r="G607" s="80">
        <v>-192.326885304</v>
      </c>
      <c r="H607" s="80">
        <v>1.7999999999999999E-2</v>
      </c>
      <c r="I607" s="80">
        <v>5.2933007955906497</v>
      </c>
      <c r="J607" s="80">
        <v>0.16240997173545307</v>
      </c>
      <c r="K607" s="80">
        <v>12.702107890419478</v>
      </c>
      <c r="L607" s="80">
        <v>0.6713690642579162</v>
      </c>
      <c r="N607" s="56">
        <v>20</v>
      </c>
      <c r="O607" s="56">
        <v>40</v>
      </c>
    </row>
    <row r="608" spans="1:15" x14ac:dyDescent="0.2">
      <c r="A608" s="56">
        <v>3214</v>
      </c>
      <c r="B608" s="56">
        <v>1128</v>
      </c>
      <c r="C608" s="4">
        <v>43055</v>
      </c>
      <c r="D608" s="160" t="s">
        <v>1111</v>
      </c>
      <c r="E608" s="80">
        <v>-47.987193771999998</v>
      </c>
      <c r="F608" s="80">
        <v>3.0000000000000001E-3</v>
      </c>
      <c r="G608" s="80">
        <v>-159.71978268000001</v>
      </c>
      <c r="H608" s="80">
        <v>2.5999999999999999E-2</v>
      </c>
      <c r="I608" s="80">
        <v>7.6718602727048335</v>
      </c>
      <c r="J608" s="80">
        <v>0.15800874511597959</v>
      </c>
      <c r="K608" s="80">
        <v>21.886053955840978</v>
      </c>
      <c r="L608" s="80">
        <v>0.89396664993047636</v>
      </c>
      <c r="N608" s="56">
        <v>20</v>
      </c>
      <c r="O608" s="56">
        <v>22</v>
      </c>
    </row>
    <row r="609" spans="1:22" x14ac:dyDescent="0.2">
      <c r="A609" s="56">
        <v>3217</v>
      </c>
      <c r="B609" s="56">
        <v>1129</v>
      </c>
      <c r="C609" s="4">
        <v>43057</v>
      </c>
      <c r="D609" s="160" t="s">
        <v>1112</v>
      </c>
      <c r="E609" s="80">
        <v>-34.155141669999999</v>
      </c>
      <c r="F609" s="80">
        <v>3.0000000000000001E-3</v>
      </c>
      <c r="G609" s="80">
        <v>-149.58839760800001</v>
      </c>
      <c r="H609" s="80">
        <v>2.1999999999999999E-2</v>
      </c>
      <c r="I609" s="80">
        <v>3.6199394919120831</v>
      </c>
      <c r="J609" s="80">
        <v>0.16298642762390747</v>
      </c>
      <c r="K609" s="80">
        <v>7.4498781855008023</v>
      </c>
      <c r="L609" s="80">
        <v>0.67370646258928113</v>
      </c>
      <c r="N609" s="56">
        <v>17</v>
      </c>
      <c r="O609" s="56">
        <v>37</v>
      </c>
    </row>
    <row r="610" spans="1:22" x14ac:dyDescent="0.2">
      <c r="A610" s="56">
        <v>3219</v>
      </c>
      <c r="B610" s="56">
        <v>1130</v>
      </c>
      <c r="C610" s="4">
        <v>43059</v>
      </c>
      <c r="D610" s="160" t="s">
        <v>1113</v>
      </c>
      <c r="E610" s="80">
        <v>-40.491219582999996</v>
      </c>
      <c r="F610" s="80">
        <v>3.0000000000000001E-3</v>
      </c>
      <c r="G610" s="80">
        <v>-186.84626512900002</v>
      </c>
      <c r="H610" s="80">
        <v>0.02</v>
      </c>
      <c r="I610" s="80">
        <v>5.4104726962187488</v>
      </c>
      <c r="J610" s="80">
        <v>0.13449931074365518</v>
      </c>
      <c r="K610" s="80">
        <v>16.21948470019996</v>
      </c>
      <c r="L610" s="80">
        <v>0.69721243137723421</v>
      </c>
      <c r="N610" s="56">
        <v>20</v>
      </c>
      <c r="O610" s="56">
        <v>40</v>
      </c>
      <c r="V610" s="166"/>
    </row>
    <row r="611" spans="1:22" x14ac:dyDescent="0.2">
      <c r="A611" s="56">
        <v>3222</v>
      </c>
      <c r="B611" s="56">
        <v>1131</v>
      </c>
      <c r="C611" s="4">
        <v>43061</v>
      </c>
      <c r="D611" s="160" t="s">
        <v>1114</v>
      </c>
      <c r="E611" s="80">
        <v>-38.639624365000003</v>
      </c>
      <c r="F611" s="80">
        <v>3.0000000000000001E-3</v>
      </c>
      <c r="G611" s="80">
        <v>-161.80853406</v>
      </c>
      <c r="H611" s="80">
        <v>1.7999999999999999E-2</v>
      </c>
      <c r="I611" s="80">
        <v>3.3651558109324409</v>
      </c>
      <c r="J611" s="80">
        <v>0.13319451856279513</v>
      </c>
      <c r="K611" s="80">
        <v>10.563389363423381</v>
      </c>
      <c r="L611" s="80">
        <v>0.59864850791666713</v>
      </c>
      <c r="N611" s="56">
        <v>20</v>
      </c>
      <c r="O611" s="56">
        <v>39</v>
      </c>
      <c r="V611" s="166"/>
    </row>
    <row r="612" spans="1:22" x14ac:dyDescent="0.2">
      <c r="A612" s="56">
        <v>3224</v>
      </c>
      <c r="B612" s="56">
        <v>1132</v>
      </c>
      <c r="C612" s="4">
        <v>43062</v>
      </c>
      <c r="D612" s="160" t="s">
        <v>1115</v>
      </c>
      <c r="E612" s="80">
        <v>-35.563587148000003</v>
      </c>
      <c r="F612" s="80">
        <v>3.0000000000000001E-3</v>
      </c>
      <c r="G612" s="80">
        <v>-140.031889605</v>
      </c>
      <c r="H612" s="80">
        <v>0.02</v>
      </c>
      <c r="I612" s="80">
        <v>2.3315926754969851</v>
      </c>
      <c r="J612" s="80">
        <v>0.14378797311115568</v>
      </c>
      <c r="K612" s="80">
        <v>6.2034832018498243</v>
      </c>
      <c r="L612" s="80">
        <v>0.67478624400443499</v>
      </c>
      <c r="N612" s="56">
        <v>20</v>
      </c>
      <c r="O612" s="56">
        <v>37</v>
      </c>
      <c r="V612" s="166"/>
    </row>
    <row r="613" spans="1:22" x14ac:dyDescent="0.2">
      <c r="A613" s="56">
        <v>3226</v>
      </c>
      <c r="B613" s="56">
        <v>1133</v>
      </c>
      <c r="C613" s="4">
        <v>43064</v>
      </c>
      <c r="D613" s="160" t="s">
        <v>1116</v>
      </c>
      <c r="E613" s="80">
        <v>-36.741787434999999</v>
      </c>
      <c r="F613" s="80">
        <v>3.0000000000000001E-3</v>
      </c>
      <c r="G613" s="80">
        <v>-149.31177918200001</v>
      </c>
      <c r="H613" s="80">
        <v>1.7999999999999999E-2</v>
      </c>
      <c r="I613" s="80">
        <v>2.9104439628089285</v>
      </c>
      <c r="J613" s="80">
        <v>0.14959271169885119</v>
      </c>
      <c r="K613" s="80">
        <v>8.7931866191814922</v>
      </c>
      <c r="L613" s="80">
        <v>0.60764723193498038</v>
      </c>
      <c r="N613" s="56">
        <v>18</v>
      </c>
      <c r="O613" s="56">
        <v>39</v>
      </c>
      <c r="V613" s="166"/>
    </row>
    <row r="614" spans="1:22" x14ac:dyDescent="0.2">
      <c r="A614" s="56">
        <v>3228</v>
      </c>
      <c r="B614" s="56">
        <v>1134</v>
      </c>
      <c r="C614" s="4">
        <v>43065</v>
      </c>
      <c r="D614" s="160" t="s">
        <v>1117</v>
      </c>
      <c r="E614" s="80">
        <v>-36.770688505000003</v>
      </c>
      <c r="F614" s="80">
        <v>3.0000000000000001E-3</v>
      </c>
      <c r="G614" s="80">
        <v>-151.200123335</v>
      </c>
      <c r="H614" s="80">
        <v>2.3E-2</v>
      </c>
      <c r="I614" s="80">
        <v>3.7272403759140982</v>
      </c>
      <c r="J614" s="80">
        <v>0.15405398133563383</v>
      </c>
      <c r="K614" s="80">
        <v>9.6171552488109047</v>
      </c>
      <c r="L614" s="80">
        <v>0.77210696221884612</v>
      </c>
      <c r="N614" s="56">
        <v>20</v>
      </c>
      <c r="O614" s="56">
        <v>35</v>
      </c>
      <c r="V614" s="166"/>
    </row>
    <row r="615" spans="1:22" x14ac:dyDescent="0.2">
      <c r="A615" s="56">
        <v>3230</v>
      </c>
      <c r="B615" s="56">
        <v>1135</v>
      </c>
      <c r="C615" s="4">
        <v>43066</v>
      </c>
      <c r="D615" s="160" t="s">
        <v>1118</v>
      </c>
      <c r="E615" s="80">
        <v>-31.503950182000001</v>
      </c>
      <c r="F615" s="80">
        <v>3.0000000000000001E-3</v>
      </c>
      <c r="G615" s="80">
        <v>10.830531012999991</v>
      </c>
      <c r="H615" s="80">
        <v>2.1000000000000001E-2</v>
      </c>
      <c r="I615" s="80">
        <v>16.111375441965279</v>
      </c>
      <c r="J615" s="80">
        <v>0.14674350421214918</v>
      </c>
      <c r="K615" s="80">
        <v>52.967412335041871</v>
      </c>
      <c r="L615" s="80">
        <v>0.62012429670940283</v>
      </c>
      <c r="N615" s="56">
        <v>20</v>
      </c>
      <c r="O615" s="56">
        <v>40</v>
      </c>
    </row>
    <row r="616" spans="1:22" x14ac:dyDescent="0.2">
      <c r="A616" s="56">
        <v>3232</v>
      </c>
      <c r="B616" s="56">
        <v>1135</v>
      </c>
      <c r="C616" s="4">
        <v>43068</v>
      </c>
      <c r="D616" s="160" t="s">
        <v>1119</v>
      </c>
      <c r="E616" s="80">
        <v>-49.518950482000001</v>
      </c>
      <c r="F616" s="80">
        <v>4.0000000000000001E-3</v>
      </c>
      <c r="G616" s="80">
        <v>-158.28400132600001</v>
      </c>
      <c r="H616" s="80">
        <v>1.7999999999999999E-2</v>
      </c>
      <c r="I616" s="80">
        <v>8.6176099556276586</v>
      </c>
      <c r="J616" s="80">
        <v>0.13864321334347507</v>
      </c>
      <c r="K616" s="80">
        <v>25.607615670616646</v>
      </c>
      <c r="L616" s="80">
        <v>0.71147831970328057</v>
      </c>
      <c r="N616" s="56">
        <v>20</v>
      </c>
      <c r="O616" s="56">
        <v>40</v>
      </c>
    </row>
    <row r="617" spans="1:22" x14ac:dyDescent="0.2">
      <c r="A617" s="56">
        <v>3291</v>
      </c>
      <c r="B617" s="56">
        <v>1156</v>
      </c>
      <c r="C617" s="4">
        <v>43144</v>
      </c>
      <c r="D617" s="160" t="s">
        <v>1120</v>
      </c>
      <c r="E617" s="80">
        <v>-28.234275795999999</v>
      </c>
      <c r="F617" s="80">
        <v>5.0000000000000001E-3</v>
      </c>
      <c r="G617" s="80">
        <v>50.882809163999994</v>
      </c>
      <c r="H617" s="80">
        <v>2.3E-2</v>
      </c>
      <c r="I617" s="80">
        <v>19.477118551126882</v>
      </c>
      <c r="J617" s="80">
        <v>0.25388179345084644</v>
      </c>
      <c r="K617" s="80">
        <v>65.07969377896417</v>
      </c>
      <c r="L617" s="80">
        <v>0.66902451630473636</v>
      </c>
      <c r="N617" s="56">
        <v>16</v>
      </c>
      <c r="O617" s="56">
        <v>40</v>
      </c>
    </row>
    <row r="618" spans="1:22" x14ac:dyDescent="0.2">
      <c r="A618" s="56">
        <v>3294</v>
      </c>
      <c r="B618" s="56">
        <v>1157</v>
      </c>
      <c r="C618" s="4">
        <v>43146</v>
      </c>
      <c r="D618" s="160" t="s">
        <v>1121</v>
      </c>
      <c r="E618" s="106" t="s">
        <v>1122</v>
      </c>
      <c r="F618" s="106" t="s">
        <v>1122</v>
      </c>
      <c r="G618" s="106">
        <v>-154.78299056700001</v>
      </c>
      <c r="H618" s="106">
        <v>4.1000000000000002E-2</v>
      </c>
      <c r="I618" s="106" t="s">
        <v>1122</v>
      </c>
      <c r="J618" s="106" t="s">
        <v>1122</v>
      </c>
      <c r="K618" s="106">
        <v>7.3252693703456107</v>
      </c>
      <c r="L618" s="106">
        <v>1.3624512651997098</v>
      </c>
      <c r="M618" s="171" t="s">
        <v>1125</v>
      </c>
      <c r="N618" s="56">
        <v>0</v>
      </c>
      <c r="O618" s="56">
        <v>11</v>
      </c>
    </row>
    <row r="619" spans="1:22" x14ac:dyDescent="0.2">
      <c r="A619" s="56">
        <v>3295</v>
      </c>
      <c r="B619" s="56">
        <v>1158</v>
      </c>
      <c r="C619" s="4">
        <v>43146</v>
      </c>
      <c r="D619" s="160" t="s">
        <v>1123</v>
      </c>
      <c r="E619" s="80">
        <v>-54.098806708000005</v>
      </c>
      <c r="F619" s="80">
        <v>6.0000000000000001E-3</v>
      </c>
      <c r="G619" s="80">
        <v>621.52780442200003</v>
      </c>
      <c r="H619" s="80">
        <v>4.4999999999999998E-2</v>
      </c>
      <c r="I619" s="80">
        <v>-7.0835197389194082</v>
      </c>
      <c r="J619" s="80">
        <v>0.28784828451549371</v>
      </c>
      <c r="K619" s="80">
        <v>80.556731238356832</v>
      </c>
      <c r="L619" s="80">
        <v>0.54353788602486586</v>
      </c>
      <c r="M619" s="160" t="s">
        <v>1128</v>
      </c>
      <c r="N619" s="56">
        <v>8</v>
      </c>
      <c r="O619" s="56">
        <v>26</v>
      </c>
      <c r="P619" s="82"/>
      <c r="Q619" s="82"/>
      <c r="R619" s="82"/>
      <c r="S619" s="82"/>
      <c r="T619" s="82"/>
      <c r="U619" s="82"/>
    </row>
    <row r="620" spans="1:22" x14ac:dyDescent="0.2">
      <c r="A620" s="56">
        <v>3297</v>
      </c>
      <c r="B620" s="56">
        <v>1159</v>
      </c>
      <c r="C620" s="4">
        <v>43147</v>
      </c>
      <c r="D620" s="160" t="s">
        <v>1124</v>
      </c>
      <c r="E620" s="80">
        <v>-48.576775599999998</v>
      </c>
      <c r="F620" s="80">
        <v>2.9000000000000001E-2</v>
      </c>
      <c r="G620" s="80">
        <v>-319.38318546399995</v>
      </c>
      <c r="H620" s="80">
        <v>2.3E-2</v>
      </c>
      <c r="I620" s="80">
        <v>-1.9060189426547414</v>
      </c>
      <c r="J620" s="80">
        <v>0.23771568160470424</v>
      </c>
      <c r="K620" s="80">
        <v>-41.239617241501271</v>
      </c>
      <c r="L620" s="80">
        <v>0.72809404796056854</v>
      </c>
      <c r="M620" s="160" t="s">
        <v>1129</v>
      </c>
      <c r="N620" s="56">
        <v>7</v>
      </c>
      <c r="O620" s="56">
        <v>30</v>
      </c>
      <c r="P620" s="82"/>
      <c r="Q620" s="82"/>
      <c r="R620" s="82"/>
      <c r="S620" s="82"/>
      <c r="T620" s="82"/>
      <c r="U620" s="82"/>
    </row>
    <row r="621" spans="1:22" x14ac:dyDescent="0.2">
      <c r="A621" s="56">
        <v>3299</v>
      </c>
      <c r="B621" s="56">
        <v>1160</v>
      </c>
      <c r="C621" s="4">
        <v>43148</v>
      </c>
      <c r="D621" s="160" t="s">
        <v>1126</v>
      </c>
      <c r="E621" s="103">
        <v>-85.111581556000004</v>
      </c>
      <c r="F621" s="103">
        <v>4.0000000000000001E-3</v>
      </c>
      <c r="G621" s="103">
        <v>-278.93667901199996</v>
      </c>
      <c r="H621" s="103">
        <v>2.3E-2</v>
      </c>
      <c r="I621" s="103">
        <v>1.5364577897967191</v>
      </c>
      <c r="J621" s="103">
        <v>0.18117956728107862</v>
      </c>
      <c r="K621" s="103">
        <v>-50.742838792772524</v>
      </c>
      <c r="L621" s="103">
        <v>0.667886917911788</v>
      </c>
      <c r="M621" s="168" t="s">
        <v>1130</v>
      </c>
      <c r="N621" s="56">
        <v>10</v>
      </c>
      <c r="O621" s="56">
        <v>32</v>
      </c>
      <c r="P621" s="82"/>
      <c r="Q621" s="82"/>
      <c r="R621" s="82"/>
      <c r="S621" s="82"/>
      <c r="T621" s="82"/>
      <c r="U621" s="82"/>
    </row>
    <row r="622" spans="1:22" x14ac:dyDescent="0.2">
      <c r="A622" s="56">
        <v>3301</v>
      </c>
      <c r="B622" s="56">
        <v>1161</v>
      </c>
      <c r="C622" s="4">
        <v>42784</v>
      </c>
      <c r="D622" s="160" t="s">
        <v>1127</v>
      </c>
      <c r="E622" s="103">
        <v>-72.821883223</v>
      </c>
      <c r="F622" s="103">
        <v>4.0000000000000001E-3</v>
      </c>
      <c r="G622" s="103">
        <v>-538.24763580700005</v>
      </c>
      <c r="H622" s="103">
        <v>3.6999999999999998E-2</v>
      </c>
      <c r="I622" s="103">
        <v>23.805804749019053</v>
      </c>
      <c r="J622" s="103">
        <v>0.23535938175295018</v>
      </c>
      <c r="K622" s="103">
        <v>-15.235809549017599</v>
      </c>
      <c r="L622" s="103">
        <v>0.98103266286150992</v>
      </c>
      <c r="M622" s="168" t="s">
        <v>1131</v>
      </c>
      <c r="N622" s="56">
        <v>12</v>
      </c>
      <c r="O622" s="56">
        <v>32</v>
      </c>
      <c r="P622" s="82"/>
      <c r="Q622" s="82"/>
      <c r="R622" s="82"/>
      <c r="S622" s="82"/>
      <c r="T622" s="82"/>
      <c r="U622" s="82"/>
    </row>
    <row r="623" spans="1:22" x14ac:dyDescent="0.2">
      <c r="A623" s="56">
        <v>3304</v>
      </c>
      <c r="B623" s="56">
        <v>1162</v>
      </c>
      <c r="C623" s="4">
        <v>42785</v>
      </c>
      <c r="D623" s="160" t="s">
        <v>1132</v>
      </c>
      <c r="E623" s="104">
        <v>-73.588724947000003</v>
      </c>
      <c r="F623" s="104">
        <v>4.0000000000000001E-3</v>
      </c>
      <c r="G623" s="104">
        <v>-537.91080112500003</v>
      </c>
      <c r="H623" s="104">
        <v>3.7999999999999999E-2</v>
      </c>
      <c r="I623" s="80">
        <v>-6.6515027968497842</v>
      </c>
      <c r="J623" s="80">
        <v>0.24731041144554738</v>
      </c>
      <c r="K623" s="104">
        <v>-17.582277683105495</v>
      </c>
      <c r="L623" s="104">
        <v>1.0993556908170818</v>
      </c>
      <c r="M623" s="171" t="s">
        <v>1133</v>
      </c>
      <c r="N623" s="56">
        <v>11</v>
      </c>
      <c r="O623" s="56">
        <v>31</v>
      </c>
      <c r="P623" s="82"/>
      <c r="Q623" s="82"/>
      <c r="R623" s="82"/>
      <c r="S623" s="82"/>
      <c r="T623" s="82"/>
      <c r="U623" s="82"/>
    </row>
    <row r="624" spans="1:22" x14ac:dyDescent="0.2">
      <c r="A624" s="56">
        <v>3306</v>
      </c>
      <c r="B624" s="56">
        <v>1163</v>
      </c>
      <c r="C624" s="4">
        <v>43151</v>
      </c>
      <c r="D624" s="160" t="s">
        <v>785</v>
      </c>
      <c r="E624" s="106">
        <v>-26.204999999999998</v>
      </c>
      <c r="F624" s="106">
        <v>4.0000000000000001E-3</v>
      </c>
      <c r="G624" s="106">
        <v>-153.57599999999999</v>
      </c>
      <c r="H624" s="106">
        <v>2.8000000000000001E-2</v>
      </c>
      <c r="I624" s="106">
        <v>4.6289999999999996</v>
      </c>
      <c r="J624" s="106">
        <v>0.20699999999999999</v>
      </c>
      <c r="K624" s="106">
        <v>7.1020000000000003</v>
      </c>
      <c r="L624" s="106">
        <v>0.67405873500000002</v>
      </c>
      <c r="M624" s="171" t="s">
        <v>1136</v>
      </c>
      <c r="N624" s="56">
        <v>7.5</v>
      </c>
      <c r="O624" s="56">
        <v>31</v>
      </c>
      <c r="P624" s="82"/>
      <c r="Q624" s="82"/>
      <c r="R624" s="82"/>
      <c r="S624" s="82"/>
      <c r="T624" s="82"/>
      <c r="U624" s="82"/>
    </row>
    <row r="625" spans="1:21" x14ac:dyDescent="0.2">
      <c r="A625" s="56">
        <v>3313</v>
      </c>
      <c r="B625" s="56">
        <v>1165</v>
      </c>
      <c r="C625" s="4">
        <v>42788</v>
      </c>
      <c r="D625" s="160" t="s">
        <v>1134</v>
      </c>
      <c r="E625" s="106">
        <v>-26.052245011</v>
      </c>
      <c r="F625" s="80">
        <v>1.0999999999999999E-2</v>
      </c>
      <c r="G625" s="106">
        <v>-152.04221003999999</v>
      </c>
      <c r="H625" s="80">
        <v>7.5999999999999998E-2</v>
      </c>
      <c r="I625" s="80">
        <v>3.0880692055121894</v>
      </c>
      <c r="J625" s="80">
        <v>0.28105103454300079</v>
      </c>
      <c r="K625" s="80">
        <v>8.6858321267089256</v>
      </c>
      <c r="L625" s="80">
        <v>1.7780104242970509</v>
      </c>
      <c r="M625" s="160" t="s">
        <v>1135</v>
      </c>
      <c r="N625" s="56">
        <v>3</v>
      </c>
      <c r="O625" s="56">
        <v>5</v>
      </c>
      <c r="P625" s="82"/>
      <c r="Q625" s="82"/>
      <c r="R625" s="82"/>
      <c r="S625" s="82"/>
      <c r="T625" s="82"/>
      <c r="U625" s="82"/>
    </row>
    <row r="626" spans="1:21" x14ac:dyDescent="0.2">
      <c r="A626" s="56">
        <v>3315</v>
      </c>
      <c r="B626" s="56">
        <v>1164</v>
      </c>
      <c r="C626" s="4">
        <v>43153</v>
      </c>
      <c r="D626" s="160" t="s">
        <v>1138</v>
      </c>
      <c r="E626" s="80">
        <v>-74.603999999999999</v>
      </c>
      <c r="F626" s="80">
        <v>1.2E-2</v>
      </c>
      <c r="G626" s="80">
        <v>793.23599999999999</v>
      </c>
      <c r="H626" s="80">
        <v>4.3999999999999997E-2</v>
      </c>
      <c r="I626" s="80">
        <v>-5.266</v>
      </c>
      <c r="J626" s="80">
        <v>0.13900000000000001</v>
      </c>
      <c r="K626" s="80">
        <v>-15.509</v>
      </c>
      <c r="L626" s="80">
        <v>0.44554144099999998</v>
      </c>
      <c r="M626" s="160" t="s">
        <v>1137</v>
      </c>
      <c r="N626" s="56">
        <v>10</v>
      </c>
      <c r="O626" s="56">
        <v>30</v>
      </c>
      <c r="P626" s="82"/>
      <c r="Q626" s="82"/>
      <c r="R626" s="82"/>
      <c r="S626" s="82"/>
      <c r="T626" s="82"/>
      <c r="U626" s="82"/>
    </row>
    <row r="627" spans="1:21" x14ac:dyDescent="0.2">
      <c r="A627" s="56">
        <v>3317</v>
      </c>
      <c r="B627" s="56">
        <v>1166</v>
      </c>
      <c r="C627" s="4">
        <v>43154</v>
      </c>
      <c r="D627" s="160" t="s">
        <v>1139</v>
      </c>
      <c r="E627" s="80">
        <v>-53.619048945999999</v>
      </c>
      <c r="F627" s="80">
        <v>4.0000000000000001E-3</v>
      </c>
      <c r="G627" s="80">
        <v>-165.87689485600001</v>
      </c>
      <c r="H627" s="80">
        <v>1.7999999999999999E-2</v>
      </c>
      <c r="I627" s="80">
        <v>11.358758694459903</v>
      </c>
      <c r="J627" s="80">
        <v>0.13937047853668399</v>
      </c>
      <c r="K627" s="80">
        <v>31.491477251285982</v>
      </c>
      <c r="L627" s="80">
        <v>0.54682424737562263</v>
      </c>
      <c r="N627" s="56">
        <v>20</v>
      </c>
      <c r="O627" s="56">
        <v>38</v>
      </c>
    </row>
    <row r="628" spans="1:21" x14ac:dyDescent="0.2">
      <c r="A628" s="56">
        <v>3119</v>
      </c>
      <c r="B628" s="56">
        <v>1167</v>
      </c>
      <c r="C628" s="4">
        <v>43155</v>
      </c>
      <c r="D628" s="160" t="s">
        <v>1140</v>
      </c>
      <c r="E628" s="80">
        <v>-98.503952046400002</v>
      </c>
      <c r="F628" s="80">
        <v>5.0000000000000001E-3</v>
      </c>
      <c r="G628" s="80">
        <v>-290.48220522099996</v>
      </c>
      <c r="H628" s="80">
        <v>3.6999999999999998E-2</v>
      </c>
      <c r="I628" s="80">
        <v>-9.2352815659177967</v>
      </c>
      <c r="J628" s="80">
        <v>0.1933424063712165</v>
      </c>
      <c r="K628" s="80">
        <v>-47.879141059912975</v>
      </c>
      <c r="L628" s="80">
        <v>0.87307972267481104</v>
      </c>
      <c r="N628" s="56">
        <v>17</v>
      </c>
      <c r="O628" s="56">
        <v>30</v>
      </c>
      <c r="P628" s="82"/>
      <c r="Q628" s="82"/>
      <c r="R628" s="82"/>
      <c r="S628" s="82"/>
      <c r="T628" s="82"/>
      <c r="U628" s="82"/>
    </row>
    <row r="629" spans="1:21" x14ac:dyDescent="0.2">
      <c r="A629" s="56">
        <v>3321</v>
      </c>
      <c r="B629" s="56">
        <v>1168</v>
      </c>
      <c r="C629" s="4">
        <v>43157</v>
      </c>
      <c r="D629" s="160" t="s">
        <v>1141</v>
      </c>
      <c r="E629" s="106">
        <v>-39.027862071999998</v>
      </c>
      <c r="F629" s="106">
        <v>4.0000000000000001E-3</v>
      </c>
      <c r="G629" s="80">
        <v>-154.01241066599999</v>
      </c>
      <c r="H629" s="80">
        <v>2.1999999999999999E-2</v>
      </c>
      <c r="I629" s="80">
        <v>3.2915907449813098</v>
      </c>
      <c r="J629" s="80">
        <v>0.17680419015484933</v>
      </c>
      <c r="K629" s="80">
        <v>6.9085810878271037</v>
      </c>
      <c r="L629" s="80">
        <v>0.62599207207606156</v>
      </c>
      <c r="M629" s="160" t="s">
        <v>1143</v>
      </c>
      <c r="N629" s="56">
        <v>9</v>
      </c>
      <c r="O629" s="56">
        <v>30</v>
      </c>
      <c r="P629" s="82"/>
      <c r="Q629" s="82"/>
      <c r="R629" s="82"/>
      <c r="S629" s="82"/>
      <c r="T629" s="82"/>
      <c r="U629" s="82"/>
    </row>
    <row r="630" spans="1:21" x14ac:dyDescent="0.2">
      <c r="A630" s="56">
        <v>3323</v>
      </c>
      <c r="B630" s="56">
        <v>1168</v>
      </c>
      <c r="C630" s="4">
        <v>43158</v>
      </c>
      <c r="D630" s="160" t="s">
        <v>1141</v>
      </c>
      <c r="E630" s="80">
        <v>-39.027862071999998</v>
      </c>
      <c r="F630" s="80">
        <v>4.0000000000000001E-3</v>
      </c>
      <c r="G630" s="80">
        <v>-153.919263645</v>
      </c>
      <c r="H630" s="80">
        <v>2.8000000000000001E-2</v>
      </c>
      <c r="I630" s="80">
        <v>3.1811360107503184</v>
      </c>
      <c r="J630" s="80">
        <v>0.17783718153054751</v>
      </c>
      <c r="K630" s="80">
        <v>6.1110962201706975</v>
      </c>
      <c r="L630" s="80">
        <v>0.78914567901966515</v>
      </c>
      <c r="M630" s="160" t="s">
        <v>1142</v>
      </c>
      <c r="N630" s="56">
        <v>9</v>
      </c>
      <c r="O630" s="56">
        <v>21</v>
      </c>
      <c r="P630" s="82"/>
      <c r="Q630" s="82"/>
      <c r="R630" s="82"/>
      <c r="S630" s="82"/>
      <c r="T630" s="82"/>
      <c r="U630" s="82"/>
    </row>
    <row r="631" spans="1:21" x14ac:dyDescent="0.2">
      <c r="A631" s="56">
        <v>3324</v>
      </c>
      <c r="B631" s="56">
        <v>1169</v>
      </c>
      <c r="C631" s="4">
        <v>43158</v>
      </c>
      <c r="D631" s="160" t="s">
        <v>1145</v>
      </c>
      <c r="E631" s="104">
        <v>-39.354444162999997</v>
      </c>
      <c r="F631" s="104">
        <v>3.0000000000000001E-3</v>
      </c>
      <c r="G631" s="106">
        <v>-153.862810905</v>
      </c>
      <c r="H631" s="106">
        <v>0.02</v>
      </c>
      <c r="I631" s="106">
        <v>7.3436531105326441</v>
      </c>
      <c r="J631" s="106">
        <v>0.14451468535956113</v>
      </c>
      <c r="K631" s="103">
        <v>8.0560919745880089</v>
      </c>
      <c r="L631" s="103">
        <v>0.6602150910617175</v>
      </c>
      <c r="M631" s="172" t="s">
        <v>1144</v>
      </c>
      <c r="N631" s="56">
        <v>18</v>
      </c>
      <c r="O631" s="56">
        <v>27</v>
      </c>
      <c r="P631" s="82"/>
      <c r="Q631" s="82"/>
      <c r="R631" s="82"/>
      <c r="S631" s="82"/>
      <c r="T631" s="82"/>
      <c r="U631" s="82"/>
    </row>
    <row r="632" spans="1:21" x14ac:dyDescent="0.2">
      <c r="A632" s="56">
        <v>3326</v>
      </c>
      <c r="B632" s="56">
        <v>1170</v>
      </c>
      <c r="C632" s="4">
        <v>43159</v>
      </c>
      <c r="D632" s="160" t="s">
        <v>1146</v>
      </c>
      <c r="E632" s="80">
        <v>-23.215123305999999</v>
      </c>
      <c r="F632" s="80">
        <v>3.0000000000000001E-3</v>
      </c>
      <c r="G632" s="80">
        <v>-13.247503476000002</v>
      </c>
      <c r="H632" s="80">
        <v>2.3E-2</v>
      </c>
      <c r="I632" s="80">
        <v>-0.94506188137843949</v>
      </c>
      <c r="J632" s="80">
        <v>0.12701395062816043</v>
      </c>
      <c r="K632" s="80">
        <v>-3.0291283641161737</v>
      </c>
      <c r="L632" s="80">
        <v>0.64987473503140059</v>
      </c>
      <c r="M632" s="160" t="s">
        <v>1147</v>
      </c>
      <c r="N632" s="56">
        <v>18</v>
      </c>
      <c r="O632" s="56">
        <v>20</v>
      </c>
      <c r="P632" s="82"/>
      <c r="Q632" s="82"/>
      <c r="R632" s="82"/>
      <c r="S632" s="82"/>
      <c r="T632" s="82"/>
      <c r="U632" s="82"/>
    </row>
    <row r="633" spans="1:21" x14ac:dyDescent="0.2">
      <c r="A633" s="56">
        <v>3329</v>
      </c>
      <c r="B633" s="56">
        <v>1171</v>
      </c>
      <c r="C633" s="4">
        <v>43160</v>
      </c>
      <c r="D633" s="160" t="s">
        <v>1148</v>
      </c>
      <c r="E633" s="80">
        <v>-27.832550922999999</v>
      </c>
      <c r="F633" s="80">
        <v>3.0000000000000001E-3</v>
      </c>
      <c r="G633" s="80">
        <v>-63.890315650999995</v>
      </c>
      <c r="H633" s="80">
        <v>1.4999999999999999E-2</v>
      </c>
      <c r="I633" s="80">
        <v>-0.32929434374406874</v>
      </c>
      <c r="J633" s="80">
        <v>0.15811559794694638</v>
      </c>
      <c r="K633" s="80">
        <v>-8.2885271077285374</v>
      </c>
      <c r="L633" s="80">
        <v>0.44413054975634242</v>
      </c>
      <c r="M633" s="160" t="s">
        <v>1156</v>
      </c>
      <c r="N633" s="56">
        <v>10</v>
      </c>
      <c r="O633" s="56">
        <v>40</v>
      </c>
      <c r="P633" s="82"/>
      <c r="Q633" s="82"/>
      <c r="R633" s="82"/>
      <c r="S633" s="82"/>
      <c r="T633" s="82"/>
      <c r="U633" s="82"/>
    </row>
    <row r="634" spans="1:21" x14ac:dyDescent="0.2">
      <c r="A634" s="56">
        <v>3330</v>
      </c>
      <c r="B634" s="56">
        <v>1172</v>
      </c>
      <c r="C634" s="4">
        <v>42796</v>
      </c>
      <c r="D634" s="160" t="s">
        <v>1149</v>
      </c>
      <c r="E634" s="80">
        <v>-78.341024223999995</v>
      </c>
      <c r="F634" s="80">
        <v>4.0000000000000001E-3</v>
      </c>
      <c r="G634" s="80">
        <v>3344.2876759349997</v>
      </c>
      <c r="H634" s="80">
        <v>0.16800000000000001</v>
      </c>
      <c r="I634" s="80">
        <v>-5.0258324344685246</v>
      </c>
      <c r="J634" s="80">
        <v>0.11011280973426139</v>
      </c>
      <c r="K634" s="80">
        <v>-18.000981578466522</v>
      </c>
      <c r="L634" s="80">
        <v>0.39359517076932937</v>
      </c>
      <c r="M634" s="160" t="s">
        <v>1157</v>
      </c>
      <c r="N634" s="56">
        <v>10.5</v>
      </c>
      <c r="O634" s="56">
        <v>22</v>
      </c>
      <c r="P634" s="82"/>
      <c r="Q634" s="82"/>
      <c r="R634" s="82"/>
      <c r="S634" s="82"/>
      <c r="T634" s="82"/>
      <c r="U634" s="82"/>
    </row>
    <row r="635" spans="1:21" x14ac:dyDescent="0.2">
      <c r="A635" s="56">
        <v>3334</v>
      </c>
      <c r="B635" s="56">
        <v>1173</v>
      </c>
      <c r="C635" s="4">
        <v>43162</v>
      </c>
      <c r="D635" s="160" t="s">
        <v>1150</v>
      </c>
      <c r="E635" s="103">
        <v>-75.413345833000008</v>
      </c>
      <c r="F635" s="103">
        <v>7.0000000000000001E-3</v>
      </c>
      <c r="G635" s="103">
        <v>-535.32902914900001</v>
      </c>
      <c r="H635" s="103">
        <v>9.2999999999999999E-2</v>
      </c>
      <c r="I635" s="103">
        <v>-1.718919129725105</v>
      </c>
      <c r="J635" s="103">
        <v>0.45237591704860003</v>
      </c>
      <c r="K635" s="103">
        <v>41.073142354100646</v>
      </c>
      <c r="L635" s="103">
        <v>2.5235463116514132</v>
      </c>
      <c r="M635" s="168" t="s">
        <v>1151</v>
      </c>
      <c r="N635" s="56">
        <v>5</v>
      </c>
      <c r="O635" s="56">
        <v>3.5</v>
      </c>
      <c r="P635" s="82"/>
      <c r="Q635" s="82"/>
      <c r="R635" s="82"/>
      <c r="S635" s="82"/>
      <c r="T635" s="82"/>
      <c r="U635" s="82"/>
    </row>
    <row r="636" spans="1:21" x14ac:dyDescent="0.2">
      <c r="A636" s="56">
        <v>3337</v>
      </c>
      <c r="B636" s="56">
        <v>1174</v>
      </c>
      <c r="C636" s="4">
        <v>43162</v>
      </c>
      <c r="D636" s="160" t="s">
        <v>1152</v>
      </c>
      <c r="E636" s="106">
        <v>-4.5330000000000004</v>
      </c>
      <c r="F636" s="106">
        <v>5.0000000000000001E-3</v>
      </c>
      <c r="G636" s="106">
        <v>186.28700000000001</v>
      </c>
      <c r="H636" s="106">
        <v>0.04</v>
      </c>
      <c r="I636" s="106">
        <v>-1.4670000000000001</v>
      </c>
      <c r="J636" s="106">
        <v>0.28699999999999998</v>
      </c>
      <c r="K636" s="103">
        <v>25.46</v>
      </c>
      <c r="L636" s="103">
        <v>0.81847204399999995</v>
      </c>
      <c r="M636" s="171" t="s">
        <v>1153</v>
      </c>
      <c r="N636" s="56">
        <v>8</v>
      </c>
      <c r="O636" s="56">
        <v>16</v>
      </c>
      <c r="P636" s="82"/>
      <c r="Q636" s="82"/>
      <c r="R636" s="82"/>
      <c r="S636" s="82"/>
      <c r="T636" s="82"/>
      <c r="U636" s="82"/>
    </row>
    <row r="637" spans="1:21" x14ac:dyDescent="0.2">
      <c r="A637" s="56">
        <v>3339</v>
      </c>
      <c r="B637" s="56">
        <v>1175</v>
      </c>
      <c r="C637" s="4">
        <v>43163</v>
      </c>
      <c r="D637" s="160" t="s">
        <v>1154</v>
      </c>
      <c r="E637" s="80">
        <v>-26.017563727000002</v>
      </c>
      <c r="F637" s="80">
        <v>4.0000000000000001E-3</v>
      </c>
      <c r="G637" s="80">
        <v>-153.988888691</v>
      </c>
      <c r="H637" s="80">
        <v>1.6E-2</v>
      </c>
      <c r="I637" s="103">
        <v>4.8279758322493649</v>
      </c>
      <c r="J637" s="103">
        <v>0.23392154063733842</v>
      </c>
      <c r="K637" s="80">
        <v>8.1415374310629396</v>
      </c>
      <c r="L637" s="80">
        <v>0.54591229199756031</v>
      </c>
      <c r="M637" s="160" t="s">
        <v>1155</v>
      </c>
      <c r="N637" s="56">
        <v>14</v>
      </c>
      <c r="O637" s="56">
        <v>34.5</v>
      </c>
      <c r="P637" s="82"/>
      <c r="Q637" s="82"/>
      <c r="R637" s="82"/>
      <c r="S637" s="82"/>
      <c r="T637" s="82"/>
      <c r="U637" s="82"/>
    </row>
    <row r="638" spans="1:21" x14ac:dyDescent="0.2">
      <c r="A638" s="56">
        <v>3337</v>
      </c>
      <c r="B638" s="56">
        <v>1176</v>
      </c>
      <c r="C638" s="4">
        <v>43164</v>
      </c>
      <c r="D638" s="160" t="s">
        <v>1158</v>
      </c>
      <c r="E638" s="80">
        <v>-11.937925792</v>
      </c>
      <c r="F638" s="80">
        <v>4.0000000000000001E-3</v>
      </c>
      <c r="G638" s="80">
        <v>92.710525988000001</v>
      </c>
      <c r="H638" s="80">
        <v>2.3E-2</v>
      </c>
      <c r="I638" s="80">
        <v>-11.034265445339031</v>
      </c>
      <c r="J638" s="80">
        <v>0.17575968418999982</v>
      </c>
      <c r="K638" s="80">
        <v>-32.080793187707066</v>
      </c>
      <c r="L638" s="80">
        <v>0.49631373652746996</v>
      </c>
      <c r="M638" s="160" t="s">
        <v>1159</v>
      </c>
      <c r="N638" s="56">
        <v>12.5</v>
      </c>
      <c r="O638" s="56">
        <v>30.5</v>
      </c>
      <c r="P638" s="82"/>
      <c r="Q638" s="82"/>
      <c r="R638" s="82"/>
      <c r="S638" s="82"/>
      <c r="T638" s="82"/>
      <c r="U638" s="82"/>
    </row>
    <row r="639" spans="1:21" x14ac:dyDescent="0.2">
      <c r="A639" s="56">
        <v>3343</v>
      </c>
      <c r="B639" s="56">
        <v>1177</v>
      </c>
      <c r="C639" s="4">
        <v>43165</v>
      </c>
      <c r="D639" s="160" t="s">
        <v>1160</v>
      </c>
      <c r="E639" s="80">
        <v>-28.142755741000002</v>
      </c>
      <c r="F639" s="80">
        <v>3.0000000000000001E-3</v>
      </c>
      <c r="G639" s="80">
        <v>-59.417376885000003</v>
      </c>
      <c r="H639" s="80">
        <v>1.7000000000000001E-2</v>
      </c>
      <c r="I639" s="80">
        <v>0.14066374937682369</v>
      </c>
      <c r="J639" s="80">
        <v>0.19709005936103408</v>
      </c>
      <c r="K639" s="80">
        <v>-4.9939312598396013</v>
      </c>
      <c r="L639" s="80">
        <v>0.57623575970586982</v>
      </c>
      <c r="N639" s="56">
        <v>15</v>
      </c>
      <c r="O639" s="56">
        <v>31.5</v>
      </c>
      <c r="P639" s="82"/>
      <c r="Q639" s="82"/>
      <c r="R639" s="82"/>
      <c r="S639" s="82"/>
      <c r="T639" s="82"/>
      <c r="U639" s="82"/>
    </row>
    <row r="640" spans="1:21" x14ac:dyDescent="0.2">
      <c r="A640" s="56">
        <v>3345</v>
      </c>
      <c r="B640" s="56">
        <v>1178</v>
      </c>
      <c r="C640" s="4">
        <v>43166</v>
      </c>
      <c r="D640" s="160" t="s">
        <v>1161</v>
      </c>
      <c r="E640" s="80">
        <v>-19.066856392000002</v>
      </c>
      <c r="F640" s="80">
        <v>5.0000000000000001E-3</v>
      </c>
      <c r="G640" s="80">
        <v>-65.833230786000001</v>
      </c>
      <c r="H640" s="80">
        <v>2.4E-2</v>
      </c>
      <c r="I640" s="80">
        <v>6.0151684473985796</v>
      </c>
      <c r="J640" s="80">
        <v>0.19447392423502499</v>
      </c>
      <c r="K640" s="80">
        <v>-28.453306996201299</v>
      </c>
      <c r="L640" s="80">
        <v>0.66990184528916985</v>
      </c>
      <c r="N640" s="56">
        <v>15</v>
      </c>
      <c r="O640" s="56">
        <v>32</v>
      </c>
    </row>
    <row r="641" spans="1:22" x14ac:dyDescent="0.2">
      <c r="A641" s="56">
        <v>3347</v>
      </c>
      <c r="B641" s="56">
        <v>1179</v>
      </c>
      <c r="C641" s="4">
        <v>43167</v>
      </c>
      <c r="D641" s="160" t="s">
        <v>1162</v>
      </c>
      <c r="E641" s="80" t="s">
        <v>1122</v>
      </c>
      <c r="F641" s="80" t="s">
        <v>1122</v>
      </c>
      <c r="G641" s="80">
        <v>-428.86198414599994</v>
      </c>
      <c r="H641" s="80">
        <v>2.1000000000000001E-2</v>
      </c>
      <c r="I641" s="80" t="s">
        <v>1122</v>
      </c>
      <c r="J641" s="80" t="s">
        <v>1122</v>
      </c>
      <c r="K641" s="80">
        <v>-47.968296197494873</v>
      </c>
      <c r="L641" s="80">
        <v>0.77532253354217839</v>
      </c>
      <c r="M641" s="160" t="s">
        <v>1258</v>
      </c>
      <c r="N641" s="56" t="s">
        <v>1122</v>
      </c>
      <c r="O641" s="56">
        <v>40</v>
      </c>
    </row>
    <row r="642" spans="1:22" x14ac:dyDescent="0.2">
      <c r="A642" s="56">
        <v>3352</v>
      </c>
      <c r="B642" s="56">
        <v>1180</v>
      </c>
      <c r="C642" s="4">
        <v>43170</v>
      </c>
      <c r="D642" s="160" t="s">
        <v>1164</v>
      </c>
      <c r="E642" s="80">
        <v>-37.544273812</v>
      </c>
      <c r="F642" s="80">
        <v>6.0000000000000001E-3</v>
      </c>
      <c r="G642" s="80">
        <v>-152.67824424400001</v>
      </c>
      <c r="H642" s="80">
        <v>1.9E-2</v>
      </c>
      <c r="I642" s="80">
        <v>2.8886124948197534</v>
      </c>
      <c r="J642" s="80">
        <v>0.1582535425781546</v>
      </c>
      <c r="K642" s="80">
        <v>7.6788450961815524</v>
      </c>
      <c r="L642" s="80">
        <v>0.67190310476884785</v>
      </c>
      <c r="M642" s="160" t="s">
        <v>1163</v>
      </c>
      <c r="N642" s="56">
        <v>12</v>
      </c>
      <c r="O642" s="56">
        <v>27</v>
      </c>
      <c r="P642" s="82"/>
      <c r="Q642" s="82"/>
      <c r="R642" s="82"/>
      <c r="S642" s="82"/>
      <c r="T642" s="82"/>
      <c r="U642" s="82"/>
      <c r="V642" s="178"/>
    </row>
    <row r="643" spans="1:22" x14ac:dyDescent="0.2">
      <c r="A643" s="56">
        <v>3354</v>
      </c>
      <c r="B643" s="56">
        <v>1181</v>
      </c>
      <c r="C643" s="4">
        <v>43172</v>
      </c>
      <c r="D643" s="160" t="s">
        <v>1165</v>
      </c>
      <c r="E643" s="80">
        <v>-39.005704585000004</v>
      </c>
      <c r="F643" s="80">
        <v>1.0999999999999999E-2</v>
      </c>
      <c r="G643" s="80">
        <v>-153.65487664599999</v>
      </c>
      <c r="H643" s="80">
        <v>0.02</v>
      </c>
      <c r="I643" s="80">
        <v>2.9917389994134069</v>
      </c>
      <c r="J643" s="80">
        <v>0.1932936843007626</v>
      </c>
      <c r="K643" s="80">
        <v>7.7151783485911452</v>
      </c>
      <c r="L643" s="80">
        <v>0.64298337465667155</v>
      </c>
      <c r="N643" s="56">
        <v>10</v>
      </c>
      <c r="O643" s="56">
        <v>30</v>
      </c>
      <c r="P643" s="82"/>
      <c r="Q643" s="82"/>
      <c r="R643" s="82"/>
      <c r="S643" s="82"/>
      <c r="T643" s="82"/>
      <c r="U643" s="82"/>
      <c r="V643" s="178"/>
    </row>
    <row r="644" spans="1:22" x14ac:dyDescent="0.2">
      <c r="A644" s="56">
        <v>3356</v>
      </c>
      <c r="B644" s="56">
        <v>1182</v>
      </c>
      <c r="C644" s="4">
        <v>43173</v>
      </c>
      <c r="D644" s="160" t="s">
        <v>1166</v>
      </c>
      <c r="E644" s="80">
        <v>-29.418256296999999</v>
      </c>
      <c r="F644" s="80">
        <v>1.4E-2</v>
      </c>
      <c r="G644" s="80">
        <v>-73.200313356000009</v>
      </c>
      <c r="H644" s="80">
        <v>0.02</v>
      </c>
      <c r="I644" s="80">
        <v>0.41427677914174232</v>
      </c>
      <c r="J644" s="80">
        <v>0.16508394947097216</v>
      </c>
      <c r="K644" s="80">
        <v>-4.3067848488490545</v>
      </c>
      <c r="L644" s="80">
        <v>0.56660125067402534</v>
      </c>
      <c r="N644" s="56">
        <v>10</v>
      </c>
      <c r="O644" s="56">
        <v>30</v>
      </c>
      <c r="P644" s="82"/>
      <c r="Q644" s="82"/>
      <c r="R644" s="82"/>
      <c r="S644" s="82"/>
      <c r="T644" s="82"/>
      <c r="U644" s="82"/>
      <c r="V644" s="178"/>
    </row>
    <row r="645" spans="1:22" x14ac:dyDescent="0.2">
      <c r="A645" s="56">
        <v>3358</v>
      </c>
      <c r="B645" s="56">
        <v>1183</v>
      </c>
      <c r="C645" s="4">
        <v>43175</v>
      </c>
      <c r="D645" s="160" t="s">
        <v>1167</v>
      </c>
      <c r="E645" s="80">
        <v>-31.718781469</v>
      </c>
      <c r="F645" s="80">
        <v>8.9999999999999993E-3</v>
      </c>
      <c r="G645" s="80">
        <v>-95.284625243999997</v>
      </c>
      <c r="H645" s="80">
        <v>1.9E-2</v>
      </c>
      <c r="I645" s="80">
        <v>0.52883958050164992</v>
      </c>
      <c r="J645" s="80">
        <v>0.12910516651166656</v>
      </c>
      <c r="K645" s="80">
        <v>-2.1443824161506697</v>
      </c>
      <c r="L645" s="80">
        <v>0.57040272549075266</v>
      </c>
      <c r="N645" s="56">
        <v>11</v>
      </c>
      <c r="O645" s="56">
        <v>30</v>
      </c>
      <c r="P645" s="82"/>
      <c r="Q645" s="82"/>
      <c r="R645" s="82"/>
      <c r="S645" s="82"/>
      <c r="T645" s="82"/>
      <c r="U645" s="82"/>
      <c r="V645" s="178"/>
    </row>
    <row r="646" spans="1:22" x14ac:dyDescent="0.2">
      <c r="A646" s="56">
        <v>3360</v>
      </c>
      <c r="B646" s="56">
        <v>1184</v>
      </c>
      <c r="C646" s="4">
        <v>43176</v>
      </c>
      <c r="D646" s="160" t="s">
        <v>1168</v>
      </c>
      <c r="E646" s="80">
        <v>-16.441675867000001</v>
      </c>
      <c r="F646" s="80">
        <v>6.0000000000000001E-3</v>
      </c>
      <c r="G646" s="80">
        <v>56.858331692999982</v>
      </c>
      <c r="H646" s="80">
        <v>2.4E-2</v>
      </c>
      <c r="I646" s="80">
        <v>-0.53744740272665403</v>
      </c>
      <c r="J646" s="80">
        <v>0.1697442589993545</v>
      </c>
      <c r="K646" s="80">
        <v>12.269568153348676</v>
      </c>
      <c r="L646" s="80">
        <v>0.59584474411175392</v>
      </c>
      <c r="N646" s="56">
        <v>11</v>
      </c>
      <c r="O646" s="56">
        <v>30</v>
      </c>
      <c r="P646" s="82"/>
      <c r="Q646" s="82"/>
      <c r="R646" s="82"/>
      <c r="S646" s="82"/>
      <c r="T646" s="82"/>
      <c r="U646" s="82"/>
      <c r="V646" s="178"/>
    </row>
    <row r="647" spans="1:22" x14ac:dyDescent="0.2">
      <c r="A647" s="56">
        <v>3362</v>
      </c>
      <c r="B647" s="56">
        <v>1185</v>
      </c>
      <c r="C647" s="4">
        <v>43177</v>
      </c>
      <c r="D647" s="160" t="s">
        <v>1169</v>
      </c>
      <c r="E647" s="80">
        <v>-11.449497709000001</v>
      </c>
      <c r="F647" s="80">
        <v>8.0000000000000002E-3</v>
      </c>
      <c r="G647" s="80">
        <v>82.803070118000008</v>
      </c>
      <c r="H647" s="80">
        <v>2.1999999999999999E-2</v>
      </c>
      <c r="I647" s="80">
        <v>-4.9181218422834627</v>
      </c>
      <c r="J647" s="80">
        <v>0.42896990242153327</v>
      </c>
      <c r="K647" s="80">
        <v>-30.119850584653829</v>
      </c>
      <c r="L647" s="80">
        <v>0.58815631655460032</v>
      </c>
      <c r="N647" s="56">
        <v>10</v>
      </c>
      <c r="O647" s="56">
        <v>30</v>
      </c>
      <c r="P647" s="82"/>
      <c r="Q647" s="82"/>
      <c r="R647" s="82"/>
      <c r="S647" s="82"/>
      <c r="T647" s="82"/>
      <c r="U647" s="82"/>
      <c r="V647" s="178"/>
    </row>
    <row r="648" spans="1:22" x14ac:dyDescent="0.2">
      <c r="A648" s="83">
        <v>3364</v>
      </c>
      <c r="B648" s="83">
        <v>1186</v>
      </c>
      <c r="C648" s="98">
        <v>43179</v>
      </c>
      <c r="D648" s="160" t="s">
        <v>1170</v>
      </c>
      <c r="E648" s="80">
        <v>-71.834429998000005</v>
      </c>
      <c r="F648" s="80">
        <v>5.0000000000000001E-3</v>
      </c>
      <c r="G648" s="80">
        <v>-536.88336125700005</v>
      </c>
      <c r="H648" s="80">
        <v>2.7000000000000001E-3</v>
      </c>
      <c r="I648" s="80">
        <v>-2.5089839181827722</v>
      </c>
      <c r="J648" s="80">
        <v>0.2152169788133213</v>
      </c>
      <c r="K648" s="80">
        <v>-9.8572083799368659</v>
      </c>
      <c r="L648" s="80">
        <v>0.96301843955245214</v>
      </c>
      <c r="M648" s="160" t="s">
        <v>1171</v>
      </c>
      <c r="N648" s="83">
        <v>10</v>
      </c>
      <c r="O648" s="83">
        <v>30</v>
      </c>
      <c r="P648" s="82"/>
      <c r="Q648" s="82"/>
      <c r="R648" s="82"/>
      <c r="S648" s="82"/>
      <c r="T648" s="82"/>
      <c r="U648" s="82"/>
      <c r="V648" s="178"/>
    </row>
    <row r="649" spans="1:22" x14ac:dyDescent="0.2">
      <c r="A649" s="83">
        <v>3366</v>
      </c>
      <c r="B649" s="83">
        <v>1187</v>
      </c>
      <c r="C649" s="98">
        <v>43180</v>
      </c>
      <c r="D649" s="160" t="s">
        <v>1172</v>
      </c>
      <c r="E649" s="80">
        <v>-85.930445206000002</v>
      </c>
      <c r="F649" s="80">
        <v>5.0000000000000001E-3</v>
      </c>
      <c r="G649" s="80">
        <v>-279.40241411699998</v>
      </c>
      <c r="H649" s="80">
        <v>1.9E-2</v>
      </c>
      <c r="I649" s="80">
        <v>-5.2095100341255085</v>
      </c>
      <c r="J649" s="80">
        <v>0.21888469795293047</v>
      </c>
      <c r="K649" s="80">
        <v>-49.477923667514915</v>
      </c>
      <c r="L649" s="80">
        <v>0.74941694011910309</v>
      </c>
      <c r="N649" s="83">
        <v>10</v>
      </c>
      <c r="O649" s="83">
        <v>30</v>
      </c>
      <c r="P649" s="82"/>
      <c r="Q649" s="82"/>
      <c r="R649" s="82"/>
      <c r="S649" s="82"/>
      <c r="T649" s="82"/>
      <c r="U649" s="82"/>
      <c r="V649" s="178"/>
    </row>
    <row r="650" spans="1:22" x14ac:dyDescent="0.2">
      <c r="A650" s="83">
        <v>3368</v>
      </c>
      <c r="B650" s="83">
        <v>1188</v>
      </c>
      <c r="C650" s="98">
        <v>43181</v>
      </c>
      <c r="D650" s="160" t="s">
        <v>1174</v>
      </c>
      <c r="E650" s="80">
        <v>-13.547715391000002</v>
      </c>
      <c r="F650" s="80">
        <v>7.0000000000000001E-3</v>
      </c>
      <c r="G650" s="80">
        <v>87.229905812999988</v>
      </c>
      <c r="H650" s="80">
        <v>3.2000000000000001E-2</v>
      </c>
      <c r="I650" s="80">
        <v>-0.70242735970538206</v>
      </c>
      <c r="J650" s="80">
        <v>0.24170628798861232</v>
      </c>
      <c r="K650" s="80">
        <v>18.525692714218778</v>
      </c>
      <c r="L650" s="80">
        <v>0.7110610082421327</v>
      </c>
      <c r="M650" s="160" t="s">
        <v>1173</v>
      </c>
      <c r="N650" s="83">
        <v>7</v>
      </c>
      <c r="O650" s="83">
        <v>22</v>
      </c>
      <c r="P650" s="82"/>
      <c r="Q650" s="82"/>
      <c r="R650" s="82"/>
      <c r="S650" s="82"/>
      <c r="T650" s="82"/>
      <c r="U650" s="82"/>
      <c r="V650" s="178"/>
    </row>
    <row r="651" spans="1:22" x14ac:dyDescent="0.2">
      <c r="A651" s="56">
        <v>3370</v>
      </c>
      <c r="B651" s="56">
        <v>1189</v>
      </c>
      <c r="C651" s="4">
        <v>43182</v>
      </c>
      <c r="D651" s="160" t="s">
        <v>1175</v>
      </c>
      <c r="E651" s="80">
        <v>-24.208356745</v>
      </c>
      <c r="F651" s="80">
        <v>5.0000000000000001E-3</v>
      </c>
      <c r="G651" s="80">
        <v>-32.559044951000004</v>
      </c>
      <c r="H651" s="80">
        <v>2.3E-2</v>
      </c>
      <c r="I651" s="80">
        <v>-1.610177779616806</v>
      </c>
      <c r="J651" s="80">
        <v>0.16672385198110851</v>
      </c>
      <c r="K651" s="80">
        <v>-14.776314382750066</v>
      </c>
      <c r="L651" s="80">
        <v>0.63036970137722315</v>
      </c>
      <c r="N651" s="56">
        <v>7</v>
      </c>
      <c r="O651" s="56">
        <v>30.5</v>
      </c>
      <c r="P651" s="82"/>
      <c r="Q651" s="82"/>
      <c r="R651" s="82"/>
      <c r="S651" s="82"/>
      <c r="T651" s="82"/>
      <c r="U651" s="82"/>
      <c r="V651" s="178"/>
    </row>
    <row r="652" spans="1:22" x14ac:dyDescent="0.2">
      <c r="A652" s="56">
        <v>3372</v>
      </c>
      <c r="B652" s="56">
        <v>1190</v>
      </c>
      <c r="C652" s="4">
        <v>43183</v>
      </c>
      <c r="D652" s="160" t="s">
        <v>1176</v>
      </c>
      <c r="E652" s="80">
        <v>-74.348823088000003</v>
      </c>
      <c r="F652" s="80">
        <v>5.0000000000000001E-3</v>
      </c>
      <c r="G652" s="80">
        <v>-356.97694678799996</v>
      </c>
      <c r="H652" s="80">
        <v>2.3E-2</v>
      </c>
      <c r="I652" s="80">
        <v>-0.2071417315976376</v>
      </c>
      <c r="J652" s="80">
        <v>0.17989969556053403</v>
      </c>
      <c r="K652" s="80">
        <v>-42.536460844025072</v>
      </c>
      <c r="L652" s="80">
        <v>0.86555104413085204</v>
      </c>
      <c r="N652" s="56">
        <v>12</v>
      </c>
      <c r="O652" s="56">
        <v>30.5</v>
      </c>
      <c r="V652" s="178"/>
    </row>
    <row r="653" spans="1:22" x14ac:dyDescent="0.2">
      <c r="A653" s="56">
        <v>3375</v>
      </c>
      <c r="B653" s="56">
        <v>1191</v>
      </c>
      <c r="C653" s="4">
        <v>43184</v>
      </c>
      <c r="D653" s="160" t="s">
        <v>1177</v>
      </c>
      <c r="E653" s="80">
        <v>-64.266203134000008</v>
      </c>
      <c r="F653" s="80">
        <v>4.0000000000000001E-3</v>
      </c>
      <c r="G653" s="80">
        <v>-358.53880592799999</v>
      </c>
      <c r="H653" s="80">
        <v>2.4E-2</v>
      </c>
      <c r="I653" s="80">
        <v>-0.46723027681949691</v>
      </c>
      <c r="J653" s="80">
        <v>0.15510892850837918</v>
      </c>
      <c r="K653" s="80">
        <v>-43.876423583141474</v>
      </c>
      <c r="L653" s="80">
        <v>0.83304361160397744</v>
      </c>
      <c r="N653" s="56">
        <v>15</v>
      </c>
      <c r="O653" s="56">
        <v>27.5</v>
      </c>
      <c r="V653" s="178"/>
    </row>
    <row r="654" spans="1:22" x14ac:dyDescent="0.2">
      <c r="A654" s="56">
        <v>3377</v>
      </c>
      <c r="B654" s="56">
        <v>1192</v>
      </c>
      <c r="C654" s="4">
        <v>43185</v>
      </c>
      <c r="D654" s="160" t="s">
        <v>1178</v>
      </c>
      <c r="E654" s="80">
        <v>-53.941777561000002</v>
      </c>
      <c r="F654" s="80">
        <v>5.0000000000000001E-3</v>
      </c>
      <c r="G654" s="80">
        <v>-429.50272274499997</v>
      </c>
      <c r="H654" s="80">
        <v>2.1999999999999999E-2</v>
      </c>
      <c r="I654" s="80">
        <v>-0.28907217475415692</v>
      </c>
      <c r="J654" s="80">
        <v>0.17188805836418042</v>
      </c>
      <c r="K654" s="80">
        <v>-49.334382927869072</v>
      </c>
      <c r="L654" s="80">
        <v>0.86396085106294607</v>
      </c>
      <c r="N654" s="56">
        <v>15</v>
      </c>
      <c r="O654" s="56">
        <v>27</v>
      </c>
      <c r="V654" s="178"/>
    </row>
    <row r="655" spans="1:22" x14ac:dyDescent="0.2">
      <c r="A655" s="56">
        <v>3380</v>
      </c>
      <c r="B655" s="56">
        <v>1193</v>
      </c>
      <c r="C655" s="4">
        <v>43186</v>
      </c>
      <c r="D655" s="160" t="s">
        <v>1179</v>
      </c>
      <c r="E655" s="80">
        <v>-60.076511353000001</v>
      </c>
      <c r="F655" s="80">
        <v>5.0000000000000001E-3</v>
      </c>
      <c r="G655" s="80">
        <v>-374.54974387099998</v>
      </c>
      <c r="H655" s="80">
        <v>2.5999999999999999E-2</v>
      </c>
      <c r="I655" s="80">
        <v>-2.46316642625799</v>
      </c>
      <c r="J655" s="80">
        <v>0.17410787851791637</v>
      </c>
      <c r="K655" s="80">
        <v>-46.269209284574451</v>
      </c>
      <c r="L655" s="80">
        <v>0.85037074558288206</v>
      </c>
      <c r="N655" s="56">
        <v>15</v>
      </c>
      <c r="O655" s="56">
        <v>28</v>
      </c>
      <c r="V655" s="178"/>
    </row>
    <row r="656" spans="1:22" x14ac:dyDescent="0.2">
      <c r="A656" s="56">
        <v>3382</v>
      </c>
      <c r="B656" s="56">
        <v>1194</v>
      </c>
      <c r="C656" s="4">
        <v>43187</v>
      </c>
      <c r="D656" s="160" t="s">
        <v>1180</v>
      </c>
      <c r="E656" s="80">
        <v>-49.485232567000004</v>
      </c>
      <c r="F656" s="80">
        <v>5.0000000000000001E-3</v>
      </c>
      <c r="G656" s="80">
        <v>-330.98704617099997</v>
      </c>
      <c r="H656" s="80">
        <v>2.5999999999999999E-2</v>
      </c>
      <c r="I656" s="80">
        <v>-3.1573514110248002</v>
      </c>
      <c r="J656" s="80">
        <v>0.16521879673463494</v>
      </c>
      <c r="K656" s="80">
        <v>-38.007371499655719</v>
      </c>
      <c r="L656" s="80">
        <v>0.84386043141945799</v>
      </c>
      <c r="N656" s="56">
        <v>15.5</v>
      </c>
      <c r="O656" s="56">
        <v>30.5</v>
      </c>
    </row>
    <row r="657" spans="1:24" x14ac:dyDescent="0.2">
      <c r="A657" s="56">
        <v>3384</v>
      </c>
      <c r="B657" s="56">
        <v>1195</v>
      </c>
      <c r="C657" s="4">
        <v>43188</v>
      </c>
      <c r="D657" s="160" t="s">
        <v>1181</v>
      </c>
      <c r="E657" s="80">
        <v>-41.120299539999998</v>
      </c>
      <c r="F657" s="80">
        <v>5.0000000000000001E-3</v>
      </c>
      <c r="G657" s="80">
        <v>-196.124272948</v>
      </c>
      <c r="H657" s="80">
        <v>2.1000000000000001E-2</v>
      </c>
      <c r="I657" s="80">
        <v>5.5252051248206868</v>
      </c>
      <c r="J657" s="80">
        <v>0.1468198675313804</v>
      </c>
      <c r="K657" s="80">
        <v>18.361353163138581</v>
      </c>
      <c r="L657" s="80">
        <v>0.69862070831966261</v>
      </c>
      <c r="N657" s="56">
        <v>15</v>
      </c>
      <c r="O657" s="56">
        <v>30</v>
      </c>
    </row>
    <row r="658" spans="1:24" x14ac:dyDescent="0.2">
      <c r="A658" s="56">
        <v>3386</v>
      </c>
      <c r="B658" s="56">
        <v>1196</v>
      </c>
      <c r="C658" s="4">
        <v>43189</v>
      </c>
      <c r="D658" s="160" t="s">
        <v>1182</v>
      </c>
      <c r="E658" s="80">
        <v>-41.570192863000003</v>
      </c>
      <c r="F658" s="80">
        <v>4.0000000000000001E-3</v>
      </c>
      <c r="G658" s="80">
        <v>-196.96165525800001</v>
      </c>
      <c r="H658" s="80">
        <v>2.1999999999999999E-2</v>
      </c>
      <c r="I658" s="80">
        <v>5.2926523467364817</v>
      </c>
      <c r="J658" s="80">
        <v>0.14373516486221194</v>
      </c>
      <c r="K658" s="80">
        <v>16.190411126855373</v>
      </c>
      <c r="L658" s="80">
        <v>0.73271666611760045</v>
      </c>
      <c r="N658" s="56">
        <v>15</v>
      </c>
      <c r="O658" s="56">
        <v>31</v>
      </c>
    </row>
    <row r="659" spans="1:24" x14ac:dyDescent="0.2">
      <c r="A659" s="56">
        <v>3388</v>
      </c>
      <c r="B659" s="56">
        <v>1197</v>
      </c>
      <c r="C659" s="4">
        <v>43190</v>
      </c>
      <c r="D659" s="160" t="s">
        <v>1295</v>
      </c>
      <c r="E659" s="80">
        <v>-61.717128760000001</v>
      </c>
      <c r="F659" s="80">
        <v>5.0000000000000001E-3</v>
      </c>
      <c r="G659" s="80">
        <v>-179.75862362199999</v>
      </c>
      <c r="H659" s="80">
        <v>1.7000000000000001E-2</v>
      </c>
      <c r="I659" s="80">
        <v>3.6385565651853025</v>
      </c>
      <c r="J659" s="80">
        <v>0.16729045509557472</v>
      </c>
      <c r="K659" s="80">
        <v>2.6667316400994512</v>
      </c>
      <c r="L659" s="80">
        <v>0.62325889442905158</v>
      </c>
      <c r="M659" s="160" t="s">
        <v>1189</v>
      </c>
      <c r="N659" s="56">
        <v>11</v>
      </c>
      <c r="O659" s="56">
        <v>30</v>
      </c>
    </row>
    <row r="660" spans="1:24" x14ac:dyDescent="0.2">
      <c r="A660" s="56">
        <v>3390</v>
      </c>
      <c r="B660" s="56">
        <v>1198</v>
      </c>
      <c r="C660" s="4">
        <v>43191</v>
      </c>
      <c r="D660" s="160" t="s">
        <v>1185</v>
      </c>
      <c r="E660" s="80">
        <v>-64.818213571000001</v>
      </c>
      <c r="F660" s="80">
        <v>7.0000000000000001E-3</v>
      </c>
      <c r="G660" s="80">
        <v>-194.751530487</v>
      </c>
      <c r="H660" s="80">
        <v>0.04</v>
      </c>
      <c r="I660" s="80">
        <v>3.0470054568472182</v>
      </c>
      <c r="J660" s="80">
        <v>0.32723791563254395</v>
      </c>
      <c r="K660" s="80">
        <v>-1.2217686647514325</v>
      </c>
      <c r="L660" s="80">
        <v>1.2433112163917537</v>
      </c>
      <c r="M660" s="160" t="s">
        <v>1184</v>
      </c>
      <c r="N660" s="56">
        <v>5</v>
      </c>
      <c r="O660" s="56">
        <v>10</v>
      </c>
    </row>
    <row r="661" spans="1:24" s="12" customFormat="1" x14ac:dyDescent="0.2">
      <c r="A661" s="59">
        <v>3392</v>
      </c>
      <c r="B661" s="59">
        <v>1200</v>
      </c>
      <c r="C661" s="110">
        <v>43192</v>
      </c>
      <c r="D661" s="167" t="s">
        <v>1187</v>
      </c>
      <c r="E661" s="111">
        <v>-58.031278966000002</v>
      </c>
      <c r="F661" s="111">
        <v>3.0000000000000001E-3</v>
      </c>
      <c r="G661" s="111">
        <v>-179.57609309600002</v>
      </c>
      <c r="H661" s="111">
        <v>1.7000000000000001E-2</v>
      </c>
      <c r="I661" s="111">
        <v>2.17016790331237</v>
      </c>
      <c r="J661" s="111">
        <v>0.14793735261859081</v>
      </c>
      <c r="K661" s="111">
        <v>3.1917430224395194</v>
      </c>
      <c r="L661" s="111">
        <v>0.61742500115177579</v>
      </c>
      <c r="M661" s="167" t="s">
        <v>1186</v>
      </c>
      <c r="N661" s="59">
        <v>15</v>
      </c>
      <c r="O661" s="59">
        <v>35</v>
      </c>
      <c r="P661" s="111"/>
      <c r="Q661" s="111"/>
      <c r="R661" s="111"/>
      <c r="S661" s="111"/>
      <c r="T661" s="111"/>
      <c r="U661" s="111"/>
      <c r="V661" s="167"/>
      <c r="W661" s="124"/>
      <c r="X661" s="124"/>
    </row>
    <row r="662" spans="1:24" s="105" customFormat="1" x14ac:dyDescent="0.2">
      <c r="A662" s="108">
        <v>3394</v>
      </c>
      <c r="B662" s="108">
        <v>1203</v>
      </c>
      <c r="C662" s="109">
        <v>43193</v>
      </c>
      <c r="D662" s="168" t="s">
        <v>1192</v>
      </c>
      <c r="E662" s="103">
        <v>-57.857872545999996</v>
      </c>
      <c r="F662" s="103">
        <v>4.0000000000000001E-3</v>
      </c>
      <c r="G662" s="103">
        <v>-158.59166875900002</v>
      </c>
      <c r="H662" s="103">
        <v>2.1999999999999999E-2</v>
      </c>
      <c r="I662" s="103">
        <v>7.6331320046476581</v>
      </c>
      <c r="J662" s="103">
        <v>0.14624502276423057</v>
      </c>
      <c r="K662" s="103">
        <v>8.4743944034131324</v>
      </c>
      <c r="L662" s="103">
        <v>0.64913951793392477</v>
      </c>
      <c r="M662" s="168" t="s">
        <v>1191</v>
      </c>
      <c r="N662" s="108">
        <v>15</v>
      </c>
      <c r="O662" s="108">
        <v>35</v>
      </c>
      <c r="P662" s="103"/>
      <c r="Q662" s="103"/>
      <c r="R662" s="103"/>
      <c r="S662" s="103"/>
      <c r="T662" s="103"/>
      <c r="U662" s="103"/>
      <c r="V662" s="168"/>
      <c r="W662" s="134"/>
      <c r="X662" s="134"/>
    </row>
    <row r="663" spans="1:24" s="105" customFormat="1" x14ac:dyDescent="0.2">
      <c r="A663" s="108">
        <v>3396</v>
      </c>
      <c r="B663" s="108">
        <v>1205</v>
      </c>
      <c r="C663" s="109">
        <v>43194</v>
      </c>
      <c r="D663" s="168" t="s">
        <v>1188</v>
      </c>
      <c r="E663" s="103">
        <v>-57.557301418000002</v>
      </c>
      <c r="F663" s="103">
        <v>4.0000000000000001E-3</v>
      </c>
      <c r="G663" s="103">
        <v>-180.48027781500002</v>
      </c>
      <c r="H663" s="103">
        <v>1.9E-2</v>
      </c>
      <c r="I663" s="103">
        <v>7.5864882126153166</v>
      </c>
      <c r="J663" s="103">
        <v>0.15884130013818165</v>
      </c>
      <c r="K663" s="103">
        <v>3.02286847433475</v>
      </c>
      <c r="L663" s="103">
        <v>0.62312990319157324</v>
      </c>
      <c r="M663" s="168" t="s">
        <v>1191</v>
      </c>
      <c r="N663" s="108">
        <v>20</v>
      </c>
      <c r="O663" s="108">
        <v>40</v>
      </c>
      <c r="P663" s="103"/>
      <c r="Q663" s="103"/>
      <c r="R663" s="103"/>
      <c r="S663" s="103"/>
      <c r="T663" s="103"/>
      <c r="U663" s="103"/>
      <c r="V663" s="168"/>
      <c r="W663" s="134"/>
      <c r="X663" s="134"/>
    </row>
    <row r="664" spans="1:24" s="49" customFormat="1" x14ac:dyDescent="0.2">
      <c r="A664" s="67"/>
      <c r="B664" s="67"/>
      <c r="C664" s="35"/>
      <c r="D664" s="161" t="s">
        <v>1190</v>
      </c>
      <c r="E664" s="82"/>
      <c r="F664" s="82"/>
      <c r="G664" s="82"/>
      <c r="H664" s="82"/>
      <c r="I664" s="82"/>
      <c r="J664" s="82"/>
      <c r="K664" s="82"/>
      <c r="L664" s="82"/>
      <c r="M664" s="161"/>
      <c r="N664" s="67"/>
      <c r="O664" s="67"/>
      <c r="P664" s="82"/>
      <c r="Q664" s="82"/>
      <c r="R664" s="82"/>
      <c r="S664" s="82"/>
      <c r="T664" s="82"/>
      <c r="U664" s="82"/>
      <c r="V664" s="161"/>
      <c r="W664" s="126"/>
      <c r="X664" s="126"/>
    </row>
    <row r="665" spans="1:24" s="96" customFormat="1" x14ac:dyDescent="0.2">
      <c r="A665" s="94">
        <v>3448</v>
      </c>
      <c r="B665" s="94">
        <v>1207</v>
      </c>
      <c r="C665" s="95">
        <v>43327</v>
      </c>
      <c r="D665" s="162" t="s">
        <v>785</v>
      </c>
      <c r="E665" s="97">
        <v>-24.998319325000001</v>
      </c>
      <c r="F665" s="97">
        <v>6.0000000000000001E-3</v>
      </c>
      <c r="G665" s="97">
        <v>-153.60218742200001</v>
      </c>
      <c r="H665" s="97">
        <v>2.5999999999999999E-2</v>
      </c>
      <c r="I665" s="97">
        <v>3.5858493267157954</v>
      </c>
      <c r="J665" s="97">
        <v>0.15875341878571964</v>
      </c>
      <c r="K665" s="97">
        <v>10.104758190602192</v>
      </c>
      <c r="L665" s="97">
        <v>0.65710266742942536</v>
      </c>
      <c r="M665" s="162" t="s">
        <v>1193</v>
      </c>
      <c r="N665" s="94">
        <v>11</v>
      </c>
      <c r="O665" s="94">
        <v>25</v>
      </c>
      <c r="P665" s="97"/>
      <c r="Q665" s="97"/>
      <c r="R665" s="97"/>
      <c r="S665" s="97"/>
      <c r="T665" s="97"/>
      <c r="U665" s="97"/>
      <c r="V665" s="162"/>
      <c r="W665" s="133"/>
      <c r="X665" s="133"/>
    </row>
    <row r="666" spans="1:24" x14ac:dyDescent="0.2">
      <c r="A666" s="56">
        <v>3450</v>
      </c>
      <c r="B666" s="56">
        <v>1208</v>
      </c>
      <c r="C666" s="4">
        <v>43328</v>
      </c>
      <c r="D666" s="160" t="s">
        <v>1252</v>
      </c>
      <c r="E666" s="80">
        <v>-65.145759030999997</v>
      </c>
      <c r="F666" s="80">
        <v>3.0000000000000001E-3</v>
      </c>
      <c r="G666" s="80">
        <v>-361.99935889</v>
      </c>
      <c r="H666" s="80">
        <v>2.7E-2</v>
      </c>
      <c r="I666" s="80">
        <v>3.731175883547877</v>
      </c>
      <c r="J666" s="80">
        <v>0.16158171200264759</v>
      </c>
      <c r="K666" s="80">
        <v>-17.033033273257338</v>
      </c>
      <c r="L666" s="80">
        <v>0.89288174029220635</v>
      </c>
      <c r="N666" s="56">
        <v>13</v>
      </c>
      <c r="O666" s="56">
        <v>29</v>
      </c>
    </row>
    <row r="667" spans="1:24" x14ac:dyDescent="0.2">
      <c r="A667" s="56">
        <v>3452</v>
      </c>
      <c r="B667" s="56">
        <v>1209</v>
      </c>
      <c r="C667" s="4">
        <v>43329</v>
      </c>
      <c r="D667" s="160" t="s">
        <v>1194</v>
      </c>
      <c r="E667" s="80">
        <v>-48.875419989999997</v>
      </c>
      <c r="F667" s="80">
        <v>6.0000000000000001E-3</v>
      </c>
      <c r="G667" s="80">
        <v>-377.67910742499998</v>
      </c>
      <c r="H667" s="80">
        <v>4.5999999999999999E-2</v>
      </c>
      <c r="I667" s="80">
        <v>-1.2509316056971143</v>
      </c>
      <c r="J667" s="80">
        <v>0.21093251069523566</v>
      </c>
      <c r="K667" s="80">
        <v>-53.407921880213593</v>
      </c>
      <c r="L667" s="80">
        <v>1.4163787733565165</v>
      </c>
      <c r="N667" s="56">
        <v>7</v>
      </c>
      <c r="O667" s="56">
        <v>14</v>
      </c>
    </row>
    <row r="668" spans="1:24" x14ac:dyDescent="0.2">
      <c r="A668" s="56">
        <v>3454</v>
      </c>
      <c r="B668" s="56">
        <v>1210</v>
      </c>
      <c r="C668" s="4">
        <v>43330</v>
      </c>
      <c r="D668" s="160" t="s">
        <v>1195</v>
      </c>
      <c r="E668" s="80">
        <v>-56.460987496000001</v>
      </c>
      <c r="F668" s="80">
        <v>5.0000000000000001E-3</v>
      </c>
      <c r="G668" s="80">
        <v>-374.177155787</v>
      </c>
      <c r="H668" s="80">
        <v>4.9000000000000002E-2</v>
      </c>
      <c r="I668" s="80">
        <v>-2.2506600218387129</v>
      </c>
      <c r="J668" s="80">
        <v>0.1927039289530342</v>
      </c>
      <c r="K668" s="80">
        <v>-49.118613830927636</v>
      </c>
      <c r="L668" s="80">
        <v>1.2770704657035161</v>
      </c>
      <c r="N668" s="56">
        <v>11</v>
      </c>
      <c r="O668" s="56">
        <v>14</v>
      </c>
    </row>
    <row r="669" spans="1:24" x14ac:dyDescent="0.2">
      <c r="A669" s="56">
        <v>3456</v>
      </c>
      <c r="B669" s="56">
        <v>1211</v>
      </c>
      <c r="C669" s="4">
        <v>43330</v>
      </c>
      <c r="D669" s="160" t="s">
        <v>1196</v>
      </c>
      <c r="E669" s="80">
        <v>-40.917028680999998</v>
      </c>
      <c r="F669" s="80">
        <v>4.0000000000000001E-3</v>
      </c>
      <c r="G669" s="80">
        <v>-197.222278741</v>
      </c>
      <c r="H669" s="80">
        <v>2.8000000000000001E-2</v>
      </c>
      <c r="I669" s="80">
        <v>6.1491044904125047</v>
      </c>
      <c r="J669" s="80">
        <v>0.13826945364181556</v>
      </c>
      <c r="K669" s="80">
        <v>18.866536264750877</v>
      </c>
      <c r="L669" s="80">
        <v>0.75662442052536005</v>
      </c>
      <c r="N669" s="56">
        <v>12</v>
      </c>
      <c r="O669" s="56">
        <v>24</v>
      </c>
    </row>
    <row r="670" spans="1:24" x14ac:dyDescent="0.2">
      <c r="A670" s="56">
        <v>3458</v>
      </c>
      <c r="B670" s="56">
        <v>1212</v>
      </c>
      <c r="C670" s="4">
        <v>43331</v>
      </c>
      <c r="D670" s="160" t="s">
        <v>1197</v>
      </c>
      <c r="E670" s="80">
        <v>-67.152456658000006</v>
      </c>
      <c r="F670" s="80">
        <v>4.0000000000000001E-3</v>
      </c>
      <c r="G670" s="80">
        <v>-360.19851648399998</v>
      </c>
      <c r="H670" s="80">
        <v>3.3000000000000002E-2</v>
      </c>
      <c r="I670" s="80">
        <v>0.76282162741847515</v>
      </c>
      <c r="J670" s="80">
        <v>0.18132373395360293</v>
      </c>
      <c r="K670" s="80">
        <v>-47.211173477920923</v>
      </c>
      <c r="L670" s="80">
        <v>0.95778830439209184</v>
      </c>
      <c r="N670" s="56">
        <v>12</v>
      </c>
      <c r="O670" s="56">
        <v>26</v>
      </c>
    </row>
    <row r="671" spans="1:24" x14ac:dyDescent="0.2">
      <c r="A671" s="56">
        <v>3460</v>
      </c>
      <c r="B671" s="56">
        <v>1213</v>
      </c>
      <c r="C671" s="4">
        <v>43332</v>
      </c>
      <c r="D671" s="160" t="s">
        <v>1198</v>
      </c>
      <c r="E671" s="80">
        <v>-37.525969801000002</v>
      </c>
      <c r="F671" s="80">
        <v>4.0000000000000001E-3</v>
      </c>
      <c r="G671" s="80">
        <v>-153.904209581</v>
      </c>
      <c r="H671" s="80">
        <v>2.8000000000000001E-2</v>
      </c>
      <c r="I671" s="80">
        <v>5.3366604366180681</v>
      </c>
      <c r="J671" s="80">
        <v>0.1329159852318173</v>
      </c>
      <c r="K671" s="80">
        <v>15.594044377061911</v>
      </c>
      <c r="L671" s="80">
        <v>0.67994846679844911</v>
      </c>
      <c r="N671" s="56">
        <v>14</v>
      </c>
      <c r="O671" s="56">
        <v>27</v>
      </c>
    </row>
    <row r="672" spans="1:24" s="119" customFormat="1" x14ac:dyDescent="0.2">
      <c r="A672" s="117">
        <v>3500</v>
      </c>
      <c r="B672" s="117">
        <v>1249</v>
      </c>
      <c r="C672" s="118">
        <v>43345</v>
      </c>
      <c r="D672" s="169" t="s">
        <v>1199</v>
      </c>
      <c r="E672" s="120">
        <v>-25.215077349999998</v>
      </c>
      <c r="F672" s="120">
        <v>7.0000000000000001E-3</v>
      </c>
      <c r="G672" s="120">
        <v>-153.09599452</v>
      </c>
      <c r="H672" s="120">
        <v>2.3E-2</v>
      </c>
      <c r="I672" s="120">
        <v>2.5469723414250911</v>
      </c>
      <c r="J672" s="120">
        <v>0.16248297911246321</v>
      </c>
      <c r="K672" s="120">
        <v>9.8052806168718032</v>
      </c>
      <c r="L672" s="120">
        <v>0.70226007155069803</v>
      </c>
      <c r="M672" s="169" t="s">
        <v>1200</v>
      </c>
      <c r="N672" s="117">
        <v>10</v>
      </c>
      <c r="O672" s="117">
        <v>30</v>
      </c>
      <c r="P672" s="120"/>
      <c r="Q672" s="120"/>
      <c r="R672" s="120"/>
      <c r="S672" s="120"/>
      <c r="T672" s="120"/>
      <c r="U672" s="120"/>
      <c r="V672" s="169"/>
      <c r="W672" s="135"/>
      <c r="X672" s="135"/>
    </row>
    <row r="673" spans="1:24" s="12" customFormat="1" x14ac:dyDescent="0.2">
      <c r="A673" s="59">
        <v>3502</v>
      </c>
      <c r="B673" s="59">
        <v>1250</v>
      </c>
      <c r="C673" s="110">
        <v>43348</v>
      </c>
      <c r="D673" s="167" t="s">
        <v>1201</v>
      </c>
      <c r="E673" s="111">
        <v>-39.095297901999999</v>
      </c>
      <c r="F673" s="111">
        <v>7.0000000000000001E-3</v>
      </c>
      <c r="G673" s="111">
        <v>-153.96818935299999</v>
      </c>
      <c r="H673" s="111">
        <v>2.4E-2</v>
      </c>
      <c r="I673" s="111">
        <v>2.8089396964641189</v>
      </c>
      <c r="J673" s="111">
        <v>0.19707083631056677</v>
      </c>
      <c r="K673" s="111">
        <v>7.4174893792759988</v>
      </c>
      <c r="L673" s="111">
        <v>0.70797040445457737</v>
      </c>
      <c r="M673" s="167"/>
      <c r="N673" s="59">
        <v>7</v>
      </c>
      <c r="O673" s="59">
        <v>29</v>
      </c>
      <c r="P673" s="197"/>
      <c r="Q673" s="197"/>
      <c r="R673" s="197"/>
      <c r="S673" s="197"/>
      <c r="T673" s="197"/>
      <c r="U673" s="197"/>
      <c r="V673" s="167"/>
      <c r="W673" s="124"/>
      <c r="X673" s="124"/>
    </row>
    <row r="674" spans="1:24" x14ac:dyDescent="0.2">
      <c r="A674" s="56">
        <v>3504</v>
      </c>
      <c r="B674" s="56">
        <v>1250</v>
      </c>
      <c r="C674" s="4">
        <v>43349</v>
      </c>
      <c r="D674" s="160" t="s">
        <v>1202</v>
      </c>
      <c r="E674" s="80">
        <v>-39.287008332999996</v>
      </c>
      <c r="F674" s="80">
        <v>6.0000000000000001E-3</v>
      </c>
      <c r="G674" s="80">
        <v>-153.96818935299999</v>
      </c>
      <c r="H674" s="80">
        <v>2.4E-2</v>
      </c>
      <c r="I674" s="80">
        <v>2.7146423730635139</v>
      </c>
      <c r="J674" s="80">
        <v>0.17501680269281925</v>
      </c>
      <c r="K674" s="80">
        <v>7.4174893792759988</v>
      </c>
      <c r="L674" s="80">
        <v>0.70797040445457737</v>
      </c>
      <c r="M674" s="160" t="s">
        <v>1203</v>
      </c>
      <c r="N674" s="56">
        <v>9</v>
      </c>
      <c r="O674" s="56">
        <v>29</v>
      </c>
      <c r="P674" s="82"/>
      <c r="Q674" s="82"/>
      <c r="R674" s="82"/>
      <c r="S674" s="82"/>
      <c r="T674" s="82"/>
      <c r="U674" s="82"/>
    </row>
    <row r="675" spans="1:24" x14ac:dyDescent="0.2">
      <c r="A675" s="56">
        <v>3505</v>
      </c>
      <c r="B675" s="56">
        <v>1251</v>
      </c>
      <c r="C675" s="4">
        <v>43349</v>
      </c>
      <c r="D675" s="160" t="s">
        <v>1204</v>
      </c>
      <c r="E675" s="80">
        <v>-18.961849171000001</v>
      </c>
      <c r="F675" s="80">
        <v>8.9999999999999993E-3</v>
      </c>
      <c r="G675" s="80">
        <v>29.727144848999995</v>
      </c>
      <c r="H675" s="80">
        <v>2.9000000000000001E-2</v>
      </c>
      <c r="I675" s="80">
        <v>-2.0089387728211561</v>
      </c>
      <c r="J675" s="80">
        <v>0.20113277405115976</v>
      </c>
      <c r="K675" s="80">
        <v>1.3189683396082064</v>
      </c>
      <c r="L675" s="80">
        <v>0.73398862370128148</v>
      </c>
      <c r="N675" s="56">
        <v>6</v>
      </c>
      <c r="O675" s="56">
        <v>23</v>
      </c>
      <c r="P675" s="82"/>
      <c r="Q675" s="82"/>
      <c r="R675" s="82"/>
      <c r="S675" s="82"/>
      <c r="T675" s="82"/>
      <c r="U675" s="82"/>
    </row>
    <row r="676" spans="1:24" x14ac:dyDescent="0.2">
      <c r="A676" s="56">
        <v>3507</v>
      </c>
      <c r="B676" s="56">
        <v>1252</v>
      </c>
      <c r="C676" s="4">
        <v>43350</v>
      </c>
      <c r="D676" s="160" t="s">
        <v>1205</v>
      </c>
      <c r="E676" s="80">
        <v>-18.744127776999999</v>
      </c>
      <c r="F676" s="80">
        <v>8.9999999999999993E-3</v>
      </c>
      <c r="G676" s="80">
        <v>190.05480820700001</v>
      </c>
      <c r="H676" s="80">
        <v>5.2999999999999999E-2</v>
      </c>
      <c r="I676" s="80">
        <v>-2.314898079722294</v>
      </c>
      <c r="J676" s="80">
        <v>0.24056715465642259</v>
      </c>
      <c r="K676" s="80">
        <v>6.5496746825095542</v>
      </c>
      <c r="L676" s="80">
        <v>0.8562027121967718</v>
      </c>
      <c r="M676" s="160" t="s">
        <v>1212</v>
      </c>
      <c r="N676" s="56">
        <v>6</v>
      </c>
      <c r="O676" s="56">
        <v>18.5</v>
      </c>
      <c r="P676" s="82"/>
      <c r="Q676" s="82"/>
      <c r="R676" s="82"/>
      <c r="S676" s="82"/>
      <c r="T676" s="82"/>
      <c r="U676" s="82"/>
    </row>
    <row r="677" spans="1:24" s="12" customFormat="1" x14ac:dyDescent="0.2">
      <c r="A677" s="59">
        <v>3509</v>
      </c>
      <c r="B677" s="59">
        <v>1253</v>
      </c>
      <c r="C677" s="110">
        <v>43351</v>
      </c>
      <c r="D677" s="167" t="s">
        <v>1206</v>
      </c>
      <c r="E677" s="111">
        <v>-12.783763773999999</v>
      </c>
      <c r="F677" s="111">
        <v>8.0000000000000002E-3</v>
      </c>
      <c r="G677" s="111">
        <v>95.454129152000007</v>
      </c>
      <c r="H677" s="111">
        <v>2.5999999999999999E-2</v>
      </c>
      <c r="I677" s="111">
        <v>-3.439641227870216</v>
      </c>
      <c r="J677" s="111">
        <v>0.15849637711113262</v>
      </c>
      <c r="K677" s="111">
        <v>-8.5963949268429438</v>
      </c>
      <c r="L677" s="111">
        <v>0.53090891117083305</v>
      </c>
      <c r="M677" s="167" t="s">
        <v>1207</v>
      </c>
      <c r="N677" s="59">
        <v>10</v>
      </c>
      <c r="O677" s="59">
        <v>30</v>
      </c>
      <c r="P677" s="197"/>
      <c r="Q677" s="197"/>
      <c r="R677" s="197"/>
      <c r="S677" s="197"/>
      <c r="T677" s="197"/>
      <c r="U677" s="197"/>
      <c r="V677" s="167"/>
      <c r="W677" s="124"/>
      <c r="X677" s="124"/>
    </row>
    <row r="678" spans="1:24" x14ac:dyDescent="0.2">
      <c r="A678" s="56">
        <v>3509</v>
      </c>
      <c r="B678" s="56">
        <v>1254</v>
      </c>
      <c r="C678" s="4">
        <v>43352</v>
      </c>
      <c r="D678" s="160" t="s">
        <v>1208</v>
      </c>
      <c r="E678" s="80">
        <v>-37.023091182999998</v>
      </c>
      <c r="F678" s="80">
        <v>8.0000000000000002E-3</v>
      </c>
      <c r="G678" s="80">
        <v>-133.900181162</v>
      </c>
      <c r="H678" s="80">
        <v>2.3E-2</v>
      </c>
      <c r="I678" s="80">
        <v>2.3363800692186576</v>
      </c>
      <c r="J678" s="80">
        <v>0.18338782270229351</v>
      </c>
      <c r="K678" s="80">
        <v>2.8583829115909065</v>
      </c>
      <c r="L678" s="80">
        <v>0.6491704385616951</v>
      </c>
      <c r="N678" s="56">
        <v>10</v>
      </c>
      <c r="O678" s="56">
        <v>30</v>
      </c>
      <c r="P678" s="82"/>
      <c r="Q678" s="82"/>
      <c r="R678" s="82"/>
      <c r="S678" s="82"/>
      <c r="T678" s="82"/>
      <c r="U678" s="82"/>
    </row>
    <row r="679" spans="1:24" x14ac:dyDescent="0.2">
      <c r="A679" s="56">
        <v>3513</v>
      </c>
      <c r="B679" s="56">
        <v>1255</v>
      </c>
      <c r="C679" s="4">
        <v>43353</v>
      </c>
      <c r="D679" s="160" t="s">
        <v>1209</v>
      </c>
      <c r="E679" s="80">
        <v>-28.585905481000001</v>
      </c>
      <c r="F679" s="80">
        <v>7.0000000000000001E-3</v>
      </c>
      <c r="G679" s="80">
        <v>-18.548415762000001</v>
      </c>
      <c r="H679" s="80">
        <v>1.9E-2</v>
      </c>
      <c r="I679" s="80">
        <v>-0.35563415824202416</v>
      </c>
      <c r="J679" s="80">
        <v>0.14110775510645002</v>
      </c>
      <c r="K679" s="80">
        <v>-2.9888946828814378</v>
      </c>
      <c r="L679" s="80">
        <v>0.51012719556716946</v>
      </c>
      <c r="N679" s="56">
        <v>10</v>
      </c>
      <c r="O679" s="56">
        <v>30</v>
      </c>
      <c r="P679" s="82"/>
      <c r="Q679" s="82"/>
      <c r="R679" s="82"/>
      <c r="S679" s="82"/>
      <c r="T679" s="82"/>
      <c r="U679" s="82"/>
    </row>
    <row r="680" spans="1:24" s="12" customFormat="1" x14ac:dyDescent="0.2">
      <c r="A680" s="59">
        <v>3515</v>
      </c>
      <c r="B680" s="59">
        <v>1256</v>
      </c>
      <c r="C680" s="110">
        <v>43354</v>
      </c>
      <c r="D680" s="167" t="s">
        <v>1210</v>
      </c>
      <c r="E680" s="111">
        <v>-29.541567528999998</v>
      </c>
      <c r="F680" s="111">
        <v>8.0000000000000002E-3</v>
      </c>
      <c r="G680" s="111">
        <v>-74.579641969999997</v>
      </c>
      <c r="H680" s="111">
        <v>2.1000000000000001E-2</v>
      </c>
      <c r="I680" s="111">
        <v>5.3499263188871993E-2</v>
      </c>
      <c r="J680" s="111">
        <v>0.14611338265558499</v>
      </c>
      <c r="K680" s="111">
        <v>-5.1940163604077272</v>
      </c>
      <c r="L680" s="111">
        <v>0.5875896262545337</v>
      </c>
      <c r="M680" s="167"/>
      <c r="N680" s="59">
        <v>10</v>
      </c>
      <c r="O680" s="59">
        <v>30</v>
      </c>
      <c r="P680" s="197"/>
      <c r="Q680" s="197"/>
      <c r="R680" s="197"/>
      <c r="S680" s="197"/>
      <c r="T680" s="197"/>
      <c r="U680" s="197"/>
      <c r="V680" s="167"/>
      <c r="W680" s="124"/>
      <c r="X680" s="124"/>
    </row>
    <row r="681" spans="1:24" x14ac:dyDescent="0.2">
      <c r="A681" s="56">
        <v>3517</v>
      </c>
      <c r="B681" s="56">
        <v>1257</v>
      </c>
      <c r="C681" s="4">
        <v>43355</v>
      </c>
      <c r="D681" s="160" t="s">
        <v>1211</v>
      </c>
      <c r="E681" s="80">
        <v>-31.781400454</v>
      </c>
      <c r="F681" s="80">
        <v>8.0000000000000002E-3</v>
      </c>
      <c r="G681" s="80">
        <v>-92.041415330999996</v>
      </c>
      <c r="H681" s="80">
        <v>2.4E-2</v>
      </c>
      <c r="I681" s="80">
        <v>0.87666704420108488</v>
      </c>
      <c r="J681" s="80">
        <v>0.16499167648966417</v>
      </c>
      <c r="K681" s="80">
        <v>-2.7336694284627594</v>
      </c>
      <c r="L681" s="80">
        <v>0.63509172307504447</v>
      </c>
      <c r="N681" s="56">
        <v>10</v>
      </c>
      <c r="O681" s="56">
        <v>30</v>
      </c>
      <c r="P681" s="82"/>
      <c r="Q681" s="82"/>
      <c r="R681" s="82"/>
      <c r="S681" s="82"/>
      <c r="T681" s="82"/>
      <c r="U681" s="82"/>
    </row>
    <row r="682" spans="1:24" x14ac:dyDescent="0.2">
      <c r="A682" s="56">
        <v>3519</v>
      </c>
      <c r="B682" s="56">
        <v>1258</v>
      </c>
      <c r="C682" s="4">
        <v>43356</v>
      </c>
      <c r="D682" s="160" t="s">
        <v>1213</v>
      </c>
      <c r="E682" s="80">
        <v>-33.746673213999998</v>
      </c>
      <c r="F682" s="80">
        <v>7.0000000000000001E-3</v>
      </c>
      <c r="G682" s="80">
        <v>-110.412077806</v>
      </c>
      <c r="H682" s="80">
        <v>2.5999999999999999E-2</v>
      </c>
      <c r="I682" s="80">
        <v>1.3944196155568633</v>
      </c>
      <c r="J682" s="80">
        <v>0.14413068173549481</v>
      </c>
      <c r="K682" s="80">
        <v>-0.90539844960824123</v>
      </c>
      <c r="L682" s="80">
        <v>0.65395929655461049</v>
      </c>
      <c r="M682" s="160" t="s">
        <v>1214</v>
      </c>
      <c r="N682" s="56">
        <v>10</v>
      </c>
      <c r="O682" s="56">
        <v>30</v>
      </c>
      <c r="P682" s="80">
        <v>2.9940000000000002</v>
      </c>
      <c r="Q682" s="80">
        <v>-54.514000000000003</v>
      </c>
      <c r="R682" s="80">
        <v>-50.36</v>
      </c>
      <c r="S682" s="80">
        <v>0.13400000000000001</v>
      </c>
      <c r="T682" s="80">
        <v>-106.11499999999999</v>
      </c>
      <c r="U682" s="80">
        <v>0.58199999999999996</v>
      </c>
    </row>
    <row r="683" spans="1:24" x14ac:dyDescent="0.2">
      <c r="A683" s="56">
        <v>3521</v>
      </c>
      <c r="B683" s="56">
        <v>1259</v>
      </c>
      <c r="C683" s="4">
        <v>43357</v>
      </c>
      <c r="D683" s="160" t="s">
        <v>1215</v>
      </c>
      <c r="E683" s="80">
        <v>25.835772698</v>
      </c>
      <c r="F683" s="80">
        <v>1.7000000000000001E-2</v>
      </c>
      <c r="G683" s="80">
        <v>543.31723754699999</v>
      </c>
      <c r="H683" s="80">
        <v>8.5000000000000006E-2</v>
      </c>
      <c r="I683" s="80">
        <v>-11.993480748493713</v>
      </c>
      <c r="J683" s="80">
        <v>0.23184856593038081</v>
      </c>
      <c r="K683" s="80">
        <v>-33.257783257627736</v>
      </c>
      <c r="L683" s="80">
        <v>0.76360580428310187</v>
      </c>
      <c r="M683" s="160" t="s">
        <v>1216</v>
      </c>
      <c r="N683" s="56">
        <v>6</v>
      </c>
      <c r="O683" s="56">
        <v>20</v>
      </c>
      <c r="P683" s="80">
        <v>64.841999999999999</v>
      </c>
      <c r="Q683" s="80">
        <v>640.29300000000001</v>
      </c>
      <c r="R683" s="80">
        <v>725.70600000000002</v>
      </c>
      <c r="S683" s="80">
        <v>0.39400000000000002</v>
      </c>
      <c r="T683" s="80">
        <v>1603.2650000000001</v>
      </c>
      <c r="U683" s="80">
        <v>1.9690000000000001</v>
      </c>
    </row>
    <row r="684" spans="1:24" x14ac:dyDescent="0.2">
      <c r="A684" s="56">
        <v>3525</v>
      </c>
      <c r="B684" s="56">
        <v>1260</v>
      </c>
      <c r="C684" s="4">
        <v>43358</v>
      </c>
      <c r="D684" s="160" t="s">
        <v>1217</v>
      </c>
      <c r="E684" s="80">
        <v>-25.688091528999998</v>
      </c>
      <c r="F684" s="80">
        <v>6.0000000000000001E-3</v>
      </c>
      <c r="G684" s="80">
        <v>39.623310170999993</v>
      </c>
      <c r="H684" s="80">
        <v>1.7000000000000001E-2</v>
      </c>
      <c r="I684" s="80">
        <v>-6.5442166649609668E-2</v>
      </c>
      <c r="J684" s="80">
        <v>0.15746503970146813</v>
      </c>
      <c r="K684" s="80">
        <v>0.56683747684727059</v>
      </c>
      <c r="L684" s="80">
        <v>0.44148543324783412</v>
      </c>
      <c r="N684" s="56">
        <v>9</v>
      </c>
      <c r="O684" s="196">
        <v>33.5</v>
      </c>
      <c r="P684" s="80">
        <v>11.359</v>
      </c>
      <c r="Q684" s="80">
        <v>104.949</v>
      </c>
      <c r="R684" s="80">
        <v>117.428</v>
      </c>
      <c r="S684" s="80">
        <v>0.17499999999999999</v>
      </c>
      <c r="T684" s="80">
        <v>222.631</v>
      </c>
      <c r="U684" s="80">
        <v>0.53800000000000003</v>
      </c>
    </row>
    <row r="685" spans="1:24" x14ac:dyDescent="0.2">
      <c r="A685" s="56">
        <v>3527</v>
      </c>
      <c r="B685" s="56">
        <v>1261</v>
      </c>
      <c r="C685" s="4">
        <v>43359</v>
      </c>
      <c r="D685" s="160" t="s">
        <v>1218</v>
      </c>
      <c r="E685" s="80">
        <v>-30.590676370000001</v>
      </c>
      <c r="F685" s="80">
        <v>3.0000000000000001E-3</v>
      </c>
      <c r="G685" s="80">
        <v>-87.005830923000005</v>
      </c>
      <c r="H685" s="80">
        <v>1.9E-2</v>
      </c>
      <c r="I685" s="80">
        <v>1.0824295391331784</v>
      </c>
      <c r="J685" s="80">
        <v>0.11640251995133233</v>
      </c>
      <c r="K685" s="80">
        <v>-3.986314424882953</v>
      </c>
      <c r="L685" s="80">
        <v>0.50373140543708206</v>
      </c>
      <c r="N685" s="56">
        <v>16</v>
      </c>
      <c r="O685" s="56">
        <v>40</v>
      </c>
      <c r="P685" s="80">
        <v>6.27</v>
      </c>
      <c r="Q685" s="80">
        <v>-29.637</v>
      </c>
      <c r="R685" s="80">
        <v>-22.495000000000001</v>
      </c>
      <c r="S685" s="80">
        <v>0.112</v>
      </c>
      <c r="T685" s="80">
        <v>-61.360999999999997</v>
      </c>
      <c r="U685" s="80">
        <v>0.47099999999999997</v>
      </c>
    </row>
    <row r="686" spans="1:24" x14ac:dyDescent="0.2">
      <c r="A686" s="56">
        <v>3529</v>
      </c>
      <c r="B686" s="56">
        <v>1262</v>
      </c>
      <c r="C686" s="4">
        <v>43360</v>
      </c>
      <c r="D686" s="160" t="s">
        <v>1224</v>
      </c>
      <c r="E686" s="80">
        <v>-19.955082610000002</v>
      </c>
      <c r="F686" s="80">
        <v>5.0000000000000001E-3</v>
      </c>
      <c r="G686" s="80">
        <v>6.9870402979999975</v>
      </c>
      <c r="H686" s="80">
        <v>0.02</v>
      </c>
      <c r="I686" s="80">
        <v>-2.8648567125511004</v>
      </c>
      <c r="J686" s="80">
        <v>0.14820992337947797</v>
      </c>
      <c r="K686" s="80">
        <v>-19.150346415851118</v>
      </c>
      <c r="L686" s="80">
        <v>0.50155989058548867</v>
      </c>
      <c r="M686" s="160" t="s">
        <v>1225</v>
      </c>
      <c r="N686" s="56">
        <v>10</v>
      </c>
      <c r="O686" s="56">
        <v>33</v>
      </c>
      <c r="P686" s="80">
        <v>17.309999999999999</v>
      </c>
      <c r="Q686" s="80">
        <v>70.262</v>
      </c>
      <c r="R686" s="80">
        <v>85.67</v>
      </c>
      <c r="S686" s="80">
        <v>0.16</v>
      </c>
      <c r="T686" s="80">
        <v>124.46899999999999</v>
      </c>
      <c r="U686" s="80">
        <v>0.56200000000000006</v>
      </c>
    </row>
    <row r="687" spans="1:24" x14ac:dyDescent="0.2">
      <c r="A687" s="56">
        <v>3531</v>
      </c>
      <c r="B687" s="56">
        <v>1263</v>
      </c>
      <c r="C687" s="4">
        <v>43361</v>
      </c>
      <c r="D687" s="160" t="s">
        <v>1227</v>
      </c>
      <c r="E687" s="80">
        <v>-21.855809647000001</v>
      </c>
      <c r="F687" s="80">
        <v>4.0000000000000001E-3</v>
      </c>
      <c r="G687" s="80">
        <v>-1.0800562480000004</v>
      </c>
      <c r="H687" s="80">
        <v>2.1999999999999999E-2</v>
      </c>
      <c r="I687" s="80">
        <v>-1.3785968456322406</v>
      </c>
      <c r="J687" s="80">
        <v>0.14532315549681366</v>
      </c>
      <c r="K687" s="80">
        <v>-5.1090836458304034</v>
      </c>
      <c r="L687" s="80">
        <v>0.55352296913966292</v>
      </c>
      <c r="M687" s="160" t="s">
        <v>1226</v>
      </c>
      <c r="N687" s="56">
        <v>11</v>
      </c>
      <c r="O687" s="56">
        <v>30</v>
      </c>
      <c r="P687" s="80">
        <v>15.337</v>
      </c>
      <c r="Q687" s="80">
        <v>61.688000000000002</v>
      </c>
      <c r="R687" s="80">
        <v>76.486000000000004</v>
      </c>
      <c r="S687" s="80">
        <v>0.155</v>
      </c>
      <c r="T687" s="80">
        <v>122.36499999999999</v>
      </c>
      <c r="U687" s="80">
        <v>0.61899999999999999</v>
      </c>
    </row>
    <row r="688" spans="1:24" x14ac:dyDescent="0.2">
      <c r="A688" s="56">
        <v>3533</v>
      </c>
      <c r="B688" s="56">
        <v>1264</v>
      </c>
      <c r="C688" s="4">
        <v>43362</v>
      </c>
      <c r="D688" s="160" t="s">
        <v>1228</v>
      </c>
      <c r="E688" s="80">
        <v>-18.377084188000001</v>
      </c>
      <c r="F688" s="80">
        <v>5.0000000000000001E-3</v>
      </c>
      <c r="G688" s="80">
        <v>39.008916184</v>
      </c>
      <c r="H688" s="80">
        <v>2.9000000000000001E-2</v>
      </c>
      <c r="I688" s="80">
        <v>-0.96356486034665512</v>
      </c>
      <c r="J688" s="80">
        <v>0.16130325534267992</v>
      </c>
      <c r="K688" s="80">
        <v>12.691978308249974</v>
      </c>
      <c r="L688" s="80">
        <v>0.65563938739235184</v>
      </c>
      <c r="N688" s="56">
        <v>10</v>
      </c>
      <c r="O688" s="56">
        <v>26</v>
      </c>
      <c r="P688" s="80">
        <v>18.948</v>
      </c>
      <c r="Q688" s="80">
        <v>104.29600000000001</v>
      </c>
      <c r="R688" s="80">
        <v>124.137</v>
      </c>
      <c r="S688" s="80">
        <v>0.17899999999999999</v>
      </c>
      <c r="T688" s="80">
        <v>235.98500000000001</v>
      </c>
      <c r="U688" s="80">
        <v>0.80700000000000005</v>
      </c>
    </row>
    <row r="689" spans="1:24" x14ac:dyDescent="0.2">
      <c r="A689" s="56">
        <v>3533</v>
      </c>
      <c r="B689" s="56">
        <v>1265</v>
      </c>
      <c r="C689" s="4">
        <v>43363</v>
      </c>
      <c r="D689" s="160" t="s">
        <v>1229</v>
      </c>
      <c r="E689" s="80">
        <v>-24.897165579999999</v>
      </c>
      <c r="F689" s="80">
        <v>4.0000000000000001E-3</v>
      </c>
      <c r="G689" s="80">
        <v>46.794689908999999</v>
      </c>
      <c r="H689" s="80">
        <v>2.7E-2</v>
      </c>
      <c r="I689" s="80">
        <v>-1.1847182403492695</v>
      </c>
      <c r="J689" s="80">
        <v>0.15206857556778688</v>
      </c>
      <c r="K689" s="80">
        <v>0.88347619304052216</v>
      </c>
      <c r="L689" s="80">
        <v>0.58399630978597972</v>
      </c>
      <c r="N689" s="196">
        <v>11.5</v>
      </c>
      <c r="O689" s="56">
        <v>30</v>
      </c>
      <c r="P689" s="80">
        <v>12.18</v>
      </c>
      <c r="Q689" s="80">
        <v>112.571</v>
      </c>
      <c r="R689" s="80">
        <v>124.789</v>
      </c>
      <c r="S689" s="80">
        <v>0.16900000000000001</v>
      </c>
      <c r="T689" s="80">
        <v>239.94900000000001</v>
      </c>
      <c r="U689" s="80">
        <v>0.72099999999999997</v>
      </c>
    </row>
    <row r="690" spans="1:24" x14ac:dyDescent="0.2">
      <c r="A690" s="56">
        <v>3537</v>
      </c>
      <c r="B690" s="56">
        <v>1266</v>
      </c>
      <c r="C690" s="4">
        <v>43364</v>
      </c>
      <c r="D690" s="160" t="s">
        <v>1230</v>
      </c>
      <c r="E690" s="80">
        <v>-8.5959987310000017</v>
      </c>
      <c r="F690" s="80">
        <v>5.0000000000000001E-3</v>
      </c>
      <c r="G690" s="80">
        <v>130.49434486999999</v>
      </c>
      <c r="H690" s="80">
        <v>2.8000000000000001E-2</v>
      </c>
      <c r="I690" s="80">
        <v>-0.28050918415378767</v>
      </c>
      <c r="J690" s="80">
        <v>0.1491014753432939</v>
      </c>
      <c r="K690" s="80">
        <v>1.4128300841753649</v>
      </c>
      <c r="L690" s="80">
        <v>0.52363306613809346</v>
      </c>
      <c r="N690" s="56">
        <v>10</v>
      </c>
      <c r="O690" s="56">
        <v>32.5</v>
      </c>
      <c r="P690" s="80">
        <v>29.100999999999999</v>
      </c>
      <c r="Q690" s="80">
        <v>201.53</v>
      </c>
      <c r="R690" s="80">
        <v>236.15</v>
      </c>
      <c r="S690" s="80">
        <v>0.182</v>
      </c>
      <c r="T690" s="80">
        <v>446.92899999999997</v>
      </c>
      <c r="U690" s="80">
        <v>0.754</v>
      </c>
    </row>
    <row r="691" spans="1:24" x14ac:dyDescent="0.2">
      <c r="A691" s="56">
        <v>3539</v>
      </c>
      <c r="B691" s="56">
        <v>1267</v>
      </c>
      <c r="C691" s="4">
        <v>43365</v>
      </c>
      <c r="D691" s="160" t="s">
        <v>1231</v>
      </c>
      <c r="E691" s="80">
        <v>3.2033447809999966</v>
      </c>
      <c r="F691" s="80">
        <v>3.0000000000000001E-3</v>
      </c>
      <c r="G691" s="80">
        <v>249.234215549</v>
      </c>
      <c r="H691" s="80">
        <v>4.3999999999999997E-2</v>
      </c>
      <c r="I691" s="80">
        <v>-6.9429913133679522</v>
      </c>
      <c r="J691" s="80">
        <v>0.10650820237208658</v>
      </c>
      <c r="K691" s="80">
        <v>-31.479074861189392</v>
      </c>
      <c r="L691" s="80">
        <v>0.61891092779614043</v>
      </c>
      <c r="N691" s="56">
        <v>20</v>
      </c>
      <c r="O691" s="56">
        <v>22</v>
      </c>
      <c r="P691" s="80">
        <v>41.348999999999997</v>
      </c>
      <c r="Q691" s="80">
        <v>327.73099999999999</v>
      </c>
      <c r="R691" s="80">
        <v>373.03300000000002</v>
      </c>
      <c r="S691" s="80">
        <v>0.14000000000000001</v>
      </c>
      <c r="T691" s="80">
        <v>708.81100000000004</v>
      </c>
      <c r="U691" s="80">
        <v>1.0509999999999999</v>
      </c>
    </row>
    <row r="692" spans="1:24" x14ac:dyDescent="0.2">
      <c r="A692" s="56">
        <v>3541</v>
      </c>
      <c r="B692" s="56">
        <v>1268</v>
      </c>
      <c r="C692" s="4">
        <v>43366</v>
      </c>
      <c r="D692" s="160" t="s">
        <v>1232</v>
      </c>
      <c r="E692" s="80">
        <v>-10.695179782</v>
      </c>
      <c r="F692" s="80">
        <v>5.0000000000000001E-3</v>
      </c>
      <c r="G692" s="80">
        <v>96.042178527000004</v>
      </c>
      <c r="H692" s="80">
        <v>2.7E-2</v>
      </c>
      <c r="I692" s="80">
        <v>-5.4727137317615027</v>
      </c>
      <c r="J692" s="80">
        <v>0.13827704177045114</v>
      </c>
      <c r="K692" s="80">
        <v>-30.567583039755377</v>
      </c>
      <c r="L692" s="80">
        <v>0.58173573232982811</v>
      </c>
      <c r="N692" s="56">
        <v>10.5</v>
      </c>
      <c r="O692" s="56">
        <v>30</v>
      </c>
      <c r="P692" s="80">
        <v>26.922000000000001</v>
      </c>
      <c r="Q692" s="80">
        <v>164.91300000000001</v>
      </c>
      <c r="R692" s="80">
        <v>189.72900000000001</v>
      </c>
      <c r="S692" s="80">
        <v>0.16300000000000001</v>
      </c>
      <c r="T692" s="80">
        <v>316.64699999999999</v>
      </c>
      <c r="U692" s="80">
        <v>0.76300000000000001</v>
      </c>
    </row>
    <row r="693" spans="1:24" x14ac:dyDescent="0.2">
      <c r="A693" s="56">
        <v>3543</v>
      </c>
      <c r="B693" s="56">
        <v>1269</v>
      </c>
      <c r="C693" s="4">
        <v>43367</v>
      </c>
      <c r="D693" s="160" t="s">
        <v>1233</v>
      </c>
      <c r="E693" s="80">
        <v>-7.2270513820000017</v>
      </c>
      <c r="F693" s="80">
        <v>4.0000000000000001E-3</v>
      </c>
      <c r="G693" s="80">
        <v>128.19577747299996</v>
      </c>
      <c r="H693" s="80">
        <v>3.2000000000000001E-2</v>
      </c>
      <c r="I693" s="80">
        <v>-8.1943564036605068</v>
      </c>
      <c r="J693" s="80">
        <v>0.13221630339235946</v>
      </c>
      <c r="K693" s="80">
        <v>-37.740308909852139</v>
      </c>
      <c r="L693" s="80">
        <v>0.58698862590142731</v>
      </c>
      <c r="M693" s="160" t="s">
        <v>1234</v>
      </c>
      <c r="N693" s="56">
        <v>13</v>
      </c>
      <c r="O693" s="56">
        <v>25</v>
      </c>
      <c r="P693" s="80">
        <v>30.521999999999998</v>
      </c>
      <c r="Q693" s="80">
        <v>199.08699999999999</v>
      </c>
      <c r="R693" s="80">
        <v>225.56100000000001</v>
      </c>
      <c r="S693" s="80">
        <v>0.16</v>
      </c>
      <c r="T693" s="80">
        <v>384.709</v>
      </c>
      <c r="U693" s="80">
        <v>0.80900000000000005</v>
      </c>
    </row>
    <row r="694" spans="1:24" x14ac:dyDescent="0.2">
      <c r="A694" s="56">
        <v>3545</v>
      </c>
      <c r="B694" s="56">
        <v>1270</v>
      </c>
      <c r="C694" s="4">
        <v>43368</v>
      </c>
      <c r="D694" s="160" t="s">
        <v>1235</v>
      </c>
      <c r="E694" s="80">
        <v>-102.412725427</v>
      </c>
      <c r="F694" s="80">
        <v>4.0000000000000001E-3</v>
      </c>
      <c r="G694" s="80">
        <v>-291.09095393399997</v>
      </c>
      <c r="H694" s="80">
        <v>2.5000000000000001E-2</v>
      </c>
      <c r="I694" s="80">
        <v>-5.398153087844304</v>
      </c>
      <c r="J694" s="80">
        <v>0.18955171411560306</v>
      </c>
      <c r="K694" s="80">
        <v>-45.980998299665067</v>
      </c>
      <c r="L694" s="80">
        <v>0.74680423931143058</v>
      </c>
      <c r="N694" s="56">
        <v>11.5</v>
      </c>
      <c r="O694" s="56">
        <v>31.5</v>
      </c>
      <c r="P694" s="80">
        <v>-68.283000000000001</v>
      </c>
      <c r="Q694" s="80">
        <v>-246.54599999999999</v>
      </c>
      <c r="R694" s="80">
        <v>-301.78300000000002</v>
      </c>
      <c r="S694" s="80">
        <v>0.13100000000000001</v>
      </c>
      <c r="T694" s="80">
        <v>-457.95499999999998</v>
      </c>
      <c r="U694" s="80">
        <v>0.40300000000000002</v>
      </c>
    </row>
    <row r="695" spans="1:24" x14ac:dyDescent="0.2">
      <c r="A695" s="56">
        <v>3547</v>
      </c>
      <c r="B695" s="56">
        <v>1271</v>
      </c>
      <c r="C695" s="4">
        <v>43369</v>
      </c>
      <c r="D695" s="160" t="s">
        <v>1236</v>
      </c>
      <c r="E695" s="80">
        <v>-106.259457844</v>
      </c>
      <c r="F695" s="80">
        <v>7.0000000000000001E-3</v>
      </c>
      <c r="G695" s="80">
        <v>-295.92142672</v>
      </c>
      <c r="H695" s="80">
        <v>5.2999999999999999E-2</v>
      </c>
      <c r="I695" s="80">
        <v>-3.6760674117647385</v>
      </c>
      <c r="J695" s="80">
        <v>0.32333861200159242</v>
      </c>
      <c r="K695" s="80">
        <v>-48.363406780386086</v>
      </c>
      <c r="L695" s="80">
        <v>1.3298177269248921</v>
      </c>
      <c r="M695" s="160" t="s">
        <v>1237</v>
      </c>
      <c r="N695" s="56">
        <v>5</v>
      </c>
      <c r="O695" s="56">
        <v>10</v>
      </c>
      <c r="P695" s="80">
        <v>-72.275999999999996</v>
      </c>
      <c r="Q695" s="80">
        <v>-251.68</v>
      </c>
      <c r="R695" s="80">
        <v>-308.31700000000001</v>
      </c>
      <c r="S695" s="80">
        <v>0.219</v>
      </c>
      <c r="T695" s="80">
        <v>-466.65199999999999</v>
      </c>
      <c r="U695" s="80">
        <v>0.70499999999999996</v>
      </c>
    </row>
    <row r="696" spans="1:24" x14ac:dyDescent="0.2">
      <c r="A696" s="56">
        <v>3549</v>
      </c>
      <c r="B696" s="56">
        <v>1272</v>
      </c>
      <c r="C696" s="4">
        <v>43369</v>
      </c>
      <c r="D696" s="160" t="s">
        <v>1238</v>
      </c>
      <c r="E696" s="80" t="s">
        <v>145</v>
      </c>
      <c r="F696" s="80" t="s">
        <v>145</v>
      </c>
      <c r="G696" s="80">
        <v>-28.770125218</v>
      </c>
      <c r="H696" s="80">
        <v>6.9000000000000006E-2</v>
      </c>
      <c r="I696" s="80" t="s">
        <v>145</v>
      </c>
      <c r="J696" s="80" t="s">
        <v>145</v>
      </c>
      <c r="K696" s="80">
        <v>-13.007694603837772</v>
      </c>
      <c r="L696" s="80">
        <v>1.5507682658550779</v>
      </c>
      <c r="M696" s="160" t="s">
        <v>1239</v>
      </c>
      <c r="N696" s="56">
        <v>0</v>
      </c>
      <c r="O696" s="56">
        <v>4</v>
      </c>
      <c r="P696" s="80" t="s">
        <v>145</v>
      </c>
      <c r="Q696" s="80">
        <v>32.258000000000003</v>
      </c>
      <c r="R696" s="80" t="s">
        <v>145</v>
      </c>
      <c r="S696" s="80" t="s">
        <v>145</v>
      </c>
      <c r="T696" s="80">
        <v>52.58</v>
      </c>
      <c r="U696" s="80">
        <v>1.625</v>
      </c>
    </row>
    <row r="697" spans="1:24" x14ac:dyDescent="0.2">
      <c r="A697" s="56">
        <v>3550</v>
      </c>
      <c r="B697" s="56">
        <v>1273</v>
      </c>
      <c r="C697" s="4">
        <v>43369</v>
      </c>
      <c r="D697" s="160" t="s">
        <v>1240</v>
      </c>
      <c r="E697" s="80">
        <v>-24.446308888000001</v>
      </c>
      <c r="F697" s="80">
        <v>5.0000000000000001E-3</v>
      </c>
      <c r="G697" s="80">
        <v>-29.615975439</v>
      </c>
      <c r="H697" s="80">
        <v>2.7E-2</v>
      </c>
      <c r="I697" s="80">
        <v>-0.72441101324793866</v>
      </c>
      <c r="J697" s="80">
        <v>0.16966116083093344</v>
      </c>
      <c r="K697" s="80">
        <v>-11.269382682576158</v>
      </c>
      <c r="L697" s="80">
        <v>0.65053726308609949</v>
      </c>
      <c r="M697" s="160" t="s">
        <v>1241</v>
      </c>
      <c r="N697" s="56">
        <v>10</v>
      </c>
      <c r="O697" s="56">
        <v>30</v>
      </c>
      <c r="P697" s="80">
        <v>12.648</v>
      </c>
      <c r="Q697" s="80">
        <v>31.359000000000002</v>
      </c>
      <c r="R697" s="80">
        <v>43.648000000000003</v>
      </c>
      <c r="S697" s="80">
        <v>0.17499999999999999</v>
      </c>
      <c r="T697" s="80">
        <v>52.597999999999999</v>
      </c>
      <c r="U697" s="80">
        <v>0.68200000000000005</v>
      </c>
    </row>
    <row r="698" spans="1:24" x14ac:dyDescent="0.2">
      <c r="A698" s="56">
        <v>3552</v>
      </c>
      <c r="B698" s="56">
        <v>1274</v>
      </c>
      <c r="C698" s="4">
        <v>43370</v>
      </c>
      <c r="D698" s="160" t="s">
        <v>1242</v>
      </c>
      <c r="E698" s="80">
        <v>-77.092498000000006</v>
      </c>
      <c r="F698" s="80">
        <v>3.0000000000000001E-3</v>
      </c>
      <c r="G698" s="80">
        <v>-275.95879697700002</v>
      </c>
      <c r="H698" s="80">
        <v>2.3E-2</v>
      </c>
      <c r="I698" s="80">
        <v>-4.2160120688378155</v>
      </c>
      <c r="J698" s="80">
        <v>0.12569490646137349</v>
      </c>
      <c r="K698" s="80">
        <v>-47.438150765585107</v>
      </c>
      <c r="L698" s="80">
        <v>0.67075773120299631</v>
      </c>
      <c r="M698" s="160" t="s">
        <v>1243</v>
      </c>
      <c r="N698" s="56">
        <v>18</v>
      </c>
      <c r="O698" s="56">
        <v>32</v>
      </c>
      <c r="P698" s="80">
        <v>-42</v>
      </c>
      <c r="Q698" s="80">
        <v>-230.46299999999999</v>
      </c>
      <c r="R698" s="80">
        <v>-265.89100000000002</v>
      </c>
      <c r="S698" s="80">
        <v>0.09</v>
      </c>
      <c r="T698" s="80">
        <v>-435.43099999999998</v>
      </c>
      <c r="U698" s="80">
        <v>0.377</v>
      </c>
    </row>
    <row r="699" spans="1:24" x14ac:dyDescent="0.2">
      <c r="A699" s="56">
        <v>3554</v>
      </c>
      <c r="B699" s="56">
        <v>1276</v>
      </c>
      <c r="C699" s="4">
        <v>43371</v>
      </c>
      <c r="D699" s="160" t="s">
        <v>1244</v>
      </c>
      <c r="E699" s="80">
        <v>-107.12552657499999</v>
      </c>
      <c r="F699" s="80">
        <v>7.0000000000000001E-3</v>
      </c>
      <c r="G699" s="80">
        <v>-296.08325790800001</v>
      </c>
      <c r="H699" s="80">
        <v>0.05</v>
      </c>
      <c r="I699" s="80">
        <v>-3.688909467743362</v>
      </c>
      <c r="J699" s="80">
        <v>0.33698484491816511</v>
      </c>
      <c r="K699" s="80">
        <v>-46.0960747042215</v>
      </c>
      <c r="L699" s="80">
        <v>1.2632012036237172</v>
      </c>
      <c r="M699" s="160" t="s">
        <v>1245</v>
      </c>
      <c r="N699" s="56">
        <v>5</v>
      </c>
      <c r="O699" s="56">
        <v>15</v>
      </c>
      <c r="P699" s="80">
        <v>-73.174999999999997</v>
      </c>
      <c r="Q699" s="80">
        <v>-251.852</v>
      </c>
      <c r="R699" s="80">
        <v>-309.15499999999997</v>
      </c>
      <c r="S699" s="80">
        <v>0.22900000000000001</v>
      </c>
      <c r="T699" s="80">
        <v>-465.62700000000001</v>
      </c>
      <c r="U699" s="80">
        <v>0.67100000000000004</v>
      </c>
    </row>
    <row r="700" spans="1:24" s="96" customFormat="1" x14ac:dyDescent="0.2">
      <c r="A700" s="94">
        <v>3556</v>
      </c>
      <c r="B700" s="94">
        <v>1277</v>
      </c>
      <c r="C700" s="95">
        <v>43372</v>
      </c>
      <c r="D700" s="162" t="s">
        <v>785</v>
      </c>
      <c r="E700" s="97">
        <v>-25.650520138000001</v>
      </c>
      <c r="F700" s="97">
        <v>5.0000000000000001E-3</v>
      </c>
      <c r="G700" s="97">
        <v>-154.11402559800001</v>
      </c>
      <c r="H700" s="97">
        <v>0.02</v>
      </c>
      <c r="I700" s="97">
        <v>3.532373705627867</v>
      </c>
      <c r="J700" s="97">
        <v>0.16763164496008875</v>
      </c>
      <c r="K700" s="97">
        <v>8.3149867349618933</v>
      </c>
      <c r="L700" s="97">
        <v>0.61392722174386793</v>
      </c>
      <c r="M700" s="162" t="s">
        <v>1246</v>
      </c>
      <c r="N700" s="94">
        <v>10.5</v>
      </c>
      <c r="O700" s="94">
        <v>30</v>
      </c>
      <c r="P700" s="97">
        <v>11.398</v>
      </c>
      <c r="Q700" s="97">
        <v>-100.962</v>
      </c>
      <c r="R700" s="97">
        <v>-87.501999999999995</v>
      </c>
      <c r="S700" s="97">
        <v>0.151</v>
      </c>
      <c r="T700" s="97">
        <v>-184.32499999999999</v>
      </c>
      <c r="U700" s="97">
        <v>0.499</v>
      </c>
      <c r="V700" s="162"/>
      <c r="W700" s="133"/>
      <c r="X700" s="133"/>
    </row>
    <row r="701" spans="1:24" x14ac:dyDescent="0.2">
      <c r="A701" s="56">
        <v>3558</v>
      </c>
      <c r="B701" s="56">
        <v>1278</v>
      </c>
      <c r="C701" s="4">
        <v>43373</v>
      </c>
      <c r="D701" s="160" t="s">
        <v>1247</v>
      </c>
      <c r="E701" s="80">
        <v>-51.430274578000002</v>
      </c>
      <c r="F701" s="80">
        <v>5.0000000000000001E-3</v>
      </c>
      <c r="G701" s="80">
        <v>-190.81112923500001</v>
      </c>
      <c r="H701" s="80">
        <v>2.4E-2</v>
      </c>
      <c r="I701" s="80">
        <v>5.9659247757266609</v>
      </c>
      <c r="J701" s="80">
        <v>0.16311511405422119</v>
      </c>
      <c r="K701" s="80">
        <v>20.16688852095605</v>
      </c>
      <c r="L701" s="80">
        <v>0.6267910069081577</v>
      </c>
      <c r="N701" s="56">
        <v>11</v>
      </c>
      <c r="O701" s="56">
        <v>29</v>
      </c>
    </row>
    <row r="702" spans="1:24" x14ac:dyDescent="0.2">
      <c r="A702" s="56">
        <v>3560</v>
      </c>
      <c r="B702" s="56">
        <v>1279</v>
      </c>
      <c r="C702" s="4">
        <v>43374</v>
      </c>
      <c r="D702" s="160" t="s">
        <v>1248</v>
      </c>
      <c r="E702" s="80">
        <v>-51.4</v>
      </c>
      <c r="F702" s="80">
        <v>4.0000000000000001E-3</v>
      </c>
      <c r="G702" s="80">
        <v>-211.28700000000001</v>
      </c>
      <c r="H702" s="80">
        <v>2.4E-2</v>
      </c>
      <c r="I702" s="80">
        <v>3.9980000000000002</v>
      </c>
      <c r="J702" s="80">
        <v>0.153</v>
      </c>
      <c r="K702" s="80">
        <v>4.1269999999999998</v>
      </c>
      <c r="L702" s="80">
        <v>0.67564621800000002</v>
      </c>
      <c r="N702" s="56">
        <v>13</v>
      </c>
      <c r="O702" s="56">
        <v>30</v>
      </c>
    </row>
    <row r="703" spans="1:24" x14ac:dyDescent="0.2">
      <c r="A703" s="56">
        <v>3562</v>
      </c>
      <c r="B703" s="56">
        <v>1280</v>
      </c>
      <c r="C703" s="4">
        <v>43375</v>
      </c>
      <c r="D703" s="160" t="s">
        <v>1249</v>
      </c>
      <c r="E703" s="80">
        <v>-41.767683507999998</v>
      </c>
      <c r="F703" s="80">
        <v>6.0000000000000001E-3</v>
      </c>
      <c r="G703" s="80">
        <v>-196.72455375000001</v>
      </c>
      <c r="H703" s="80">
        <v>2.3E-2</v>
      </c>
      <c r="I703" s="80">
        <v>5.2666396888718658</v>
      </c>
      <c r="J703" s="80">
        <v>0.14979096816629159</v>
      </c>
      <c r="K703" s="80">
        <v>13.697531892361559</v>
      </c>
      <c r="L703" s="80">
        <v>0.6816143180973786</v>
      </c>
      <c r="N703" s="56">
        <v>14</v>
      </c>
      <c r="O703" s="56">
        <v>30</v>
      </c>
    </row>
    <row r="704" spans="1:24" x14ac:dyDescent="0.2">
      <c r="A704" s="56">
        <v>3564</v>
      </c>
      <c r="B704" s="56">
        <v>1281</v>
      </c>
      <c r="C704" s="4">
        <v>43376</v>
      </c>
      <c r="D704" s="160" t="s">
        <v>1253</v>
      </c>
      <c r="E704" s="80">
        <v>-72.395110755999994</v>
      </c>
      <c r="F704" s="80">
        <v>4.0000000000000001E-3</v>
      </c>
      <c r="G704" s="80">
        <v>-395.37798229399999</v>
      </c>
      <c r="H704" s="80">
        <v>2.4E-2</v>
      </c>
      <c r="I704" s="80">
        <v>3.0962655508692816</v>
      </c>
      <c r="J704" s="80">
        <v>0.16595162831681606</v>
      </c>
      <c r="K704" s="80">
        <v>-20.471344480781582</v>
      </c>
      <c r="L704" s="80">
        <v>0.86836766400124377</v>
      </c>
      <c r="N704" s="56">
        <v>14</v>
      </c>
      <c r="O704" s="56">
        <v>28</v>
      </c>
    </row>
    <row r="705" spans="1:24" x14ac:dyDescent="0.2">
      <c r="A705" s="56">
        <v>3566</v>
      </c>
      <c r="B705" s="56">
        <v>1282</v>
      </c>
      <c r="C705" s="4">
        <v>43377</v>
      </c>
      <c r="D705" s="160" t="s">
        <v>1254</v>
      </c>
      <c r="E705" s="80">
        <v>-67.121628850000008</v>
      </c>
      <c r="F705" s="80">
        <v>4.0000000000000001E-3</v>
      </c>
      <c r="G705" s="80">
        <v>-363.08701501399997</v>
      </c>
      <c r="H705" s="80">
        <v>2.5000000000000001E-2</v>
      </c>
      <c r="I705" s="80">
        <v>2.7007461564667601</v>
      </c>
      <c r="J705" s="80">
        <v>0.1585202174988814</v>
      </c>
      <c r="K705" s="80">
        <v>-17.911701355476151</v>
      </c>
      <c r="L705" s="80">
        <v>0.81872912196700698</v>
      </c>
      <c r="N705" s="56">
        <v>13</v>
      </c>
      <c r="O705" s="56">
        <v>28</v>
      </c>
    </row>
    <row r="706" spans="1:24" x14ac:dyDescent="0.2">
      <c r="A706" s="56">
        <v>3568</v>
      </c>
      <c r="B706" s="56">
        <v>1283</v>
      </c>
      <c r="C706" s="4">
        <v>43378</v>
      </c>
      <c r="D706" s="160" t="s">
        <v>1250</v>
      </c>
      <c r="E706" s="80">
        <v>-46.438096420000001</v>
      </c>
      <c r="F706" s="80">
        <v>4.0000000000000001E-3</v>
      </c>
      <c r="G706" s="80">
        <v>-272.28654624000001</v>
      </c>
      <c r="H706" s="80">
        <v>2.5999999999999999E-2</v>
      </c>
      <c r="I706" s="80">
        <v>2.8409309010628547</v>
      </c>
      <c r="J706" s="80">
        <v>0.14256196261292445</v>
      </c>
      <c r="K706" s="80">
        <v>-28.868921558871776</v>
      </c>
      <c r="L706" s="80">
        <v>0.75163829365665236</v>
      </c>
      <c r="N706" s="56">
        <v>14</v>
      </c>
      <c r="O706" s="56">
        <v>27</v>
      </c>
    </row>
    <row r="707" spans="1:24" x14ac:dyDescent="0.2">
      <c r="A707" s="117">
        <v>3570</v>
      </c>
      <c r="B707" s="117">
        <v>1284</v>
      </c>
      <c r="C707" s="118">
        <v>43379</v>
      </c>
      <c r="D707" s="169" t="s">
        <v>785</v>
      </c>
      <c r="E707" s="120">
        <v>-25.850900890000002</v>
      </c>
      <c r="F707" s="120">
        <v>3.0000000000000001E-3</v>
      </c>
      <c r="G707" s="120">
        <v>-153.44976502400002</v>
      </c>
      <c r="H707" s="120">
        <v>2.4E-2</v>
      </c>
      <c r="I707" s="120">
        <v>1.878449231880186</v>
      </c>
      <c r="J707" s="120">
        <v>0.12064135458358581</v>
      </c>
      <c r="K707" s="120">
        <v>9.9138424174494144</v>
      </c>
      <c r="L707" s="120">
        <v>0.61029408665081974</v>
      </c>
      <c r="M707" s="169"/>
      <c r="N707" s="117">
        <v>20</v>
      </c>
      <c r="O707" s="117">
        <v>35</v>
      </c>
    </row>
    <row r="708" spans="1:24" x14ac:dyDescent="0.2">
      <c r="A708" s="56">
        <v>3572</v>
      </c>
      <c r="B708" s="56">
        <v>1285</v>
      </c>
      <c r="C708" s="4">
        <v>43380</v>
      </c>
      <c r="D708" s="160" t="s">
        <v>1251</v>
      </c>
      <c r="E708" s="80">
        <v>-66.662101837000009</v>
      </c>
      <c r="F708" s="80">
        <v>6.0000000000000001E-3</v>
      </c>
      <c r="G708" s="80">
        <v>-413.30172724399995</v>
      </c>
      <c r="H708" s="80">
        <v>2.8000000000000001E-2</v>
      </c>
      <c r="I708" s="80">
        <v>-0.50682902060994461</v>
      </c>
      <c r="J708" s="80">
        <v>0.16046963917091997</v>
      </c>
      <c r="K708" s="80">
        <v>-21.931508616682692</v>
      </c>
      <c r="L708" s="80">
        <v>0.92974570141494306</v>
      </c>
      <c r="N708" s="56">
        <v>12</v>
      </c>
      <c r="O708" s="56">
        <v>28</v>
      </c>
    </row>
    <row r="709" spans="1:24" x14ac:dyDescent="0.2">
      <c r="A709" s="56">
        <v>3574</v>
      </c>
      <c r="B709" s="56">
        <v>1286</v>
      </c>
      <c r="C709" s="4">
        <v>43381</v>
      </c>
      <c r="D709" s="160" t="s">
        <v>1255</v>
      </c>
      <c r="E709" s="80">
        <v>-60.471492642999998</v>
      </c>
      <c r="F709" s="80">
        <v>6.0000000000000001E-3</v>
      </c>
      <c r="G709" s="80">
        <v>-403.07437251399995</v>
      </c>
      <c r="H709" s="80">
        <v>2.7E-2</v>
      </c>
      <c r="I709" s="80">
        <v>0.66712918723910164</v>
      </c>
      <c r="J709" s="80">
        <v>0.16725006596798428</v>
      </c>
      <c r="K709" s="80">
        <v>-25.669368466619048</v>
      </c>
      <c r="L709" s="80">
        <v>0.88108446072511259</v>
      </c>
      <c r="N709" s="56">
        <v>13</v>
      </c>
      <c r="O709" s="56">
        <v>29</v>
      </c>
    </row>
    <row r="710" spans="1:24" x14ac:dyDescent="0.2">
      <c r="A710" s="56">
        <v>3576</v>
      </c>
      <c r="B710" s="56">
        <v>1287</v>
      </c>
      <c r="C710" s="4">
        <v>43382</v>
      </c>
      <c r="D710" s="160" t="s">
        <v>1256</v>
      </c>
      <c r="E710" s="80">
        <v>-63.686254996000002</v>
      </c>
      <c r="F710" s="80">
        <v>4.0000000000000001E-3</v>
      </c>
      <c r="G710" s="80">
        <v>-348.36602218000002</v>
      </c>
      <c r="H710" s="80">
        <v>2.5000000000000001E-2</v>
      </c>
      <c r="I710" s="80">
        <v>-3.2968291852734088</v>
      </c>
      <c r="J710" s="80">
        <v>0.14426457249156258</v>
      </c>
      <c r="K710" s="80">
        <v>-48.372456140666323</v>
      </c>
      <c r="L710" s="80">
        <v>0.81786149925649854</v>
      </c>
      <c r="N710" s="56">
        <v>13</v>
      </c>
      <c r="O710" s="56">
        <v>28</v>
      </c>
    </row>
    <row r="711" spans="1:24" x14ac:dyDescent="0.2">
      <c r="A711" s="56">
        <v>3578</v>
      </c>
      <c r="B711" s="56">
        <v>1288</v>
      </c>
      <c r="C711" s="4">
        <v>43383</v>
      </c>
      <c r="D711" s="160" t="s">
        <v>1257</v>
      </c>
      <c r="E711" s="80">
        <v>-79.768737081999987</v>
      </c>
      <c r="F711" s="80">
        <v>4.0000000000000001E-3</v>
      </c>
      <c r="G711" s="80">
        <v>-362.91483415699997</v>
      </c>
      <c r="H711" s="80">
        <v>2.5000000000000001E-2</v>
      </c>
      <c r="I711" s="80">
        <v>1.0333324198736893</v>
      </c>
      <c r="J711" s="80">
        <v>0.16202735545944669</v>
      </c>
      <c r="K711" s="80">
        <v>-37.829113104813182</v>
      </c>
      <c r="L711" s="80">
        <v>0.80786875845678019</v>
      </c>
      <c r="N711" s="56">
        <v>14</v>
      </c>
      <c r="O711" s="56">
        <v>28</v>
      </c>
    </row>
    <row r="712" spans="1:24" x14ac:dyDescent="0.2">
      <c r="A712" s="94">
        <v>3580</v>
      </c>
      <c r="B712" s="94">
        <v>1289</v>
      </c>
      <c r="C712" s="95">
        <v>43384</v>
      </c>
      <c r="D712" s="162" t="s">
        <v>785</v>
      </c>
      <c r="E712" s="97">
        <v>-25.661117196999999</v>
      </c>
      <c r="F712" s="97">
        <v>6.0000000000000001E-3</v>
      </c>
      <c r="G712" s="97">
        <v>-154.06227725299999</v>
      </c>
      <c r="H712" s="97">
        <v>2.4E-2</v>
      </c>
      <c r="I712" s="97">
        <v>3.5654766187838138</v>
      </c>
      <c r="J712" s="97">
        <v>0.14017601999060436</v>
      </c>
      <c r="K712" s="97">
        <v>8.7391850983091768</v>
      </c>
      <c r="L712" s="97">
        <v>0.69376032078481076</v>
      </c>
      <c r="M712" s="162"/>
      <c r="N712" s="94">
        <v>12</v>
      </c>
      <c r="O712" s="94">
        <v>28</v>
      </c>
    </row>
    <row r="713" spans="1:24" x14ac:dyDescent="0.2">
      <c r="A713" s="56">
        <v>3582</v>
      </c>
      <c r="B713" s="56">
        <v>1290</v>
      </c>
      <c r="C713" s="4">
        <v>43385</v>
      </c>
      <c r="D713" s="160" t="s">
        <v>1259</v>
      </c>
      <c r="E713" s="80">
        <v>-58.347263998000003</v>
      </c>
      <c r="F713" s="80">
        <v>5.0000000000000001E-3</v>
      </c>
      <c r="G713" s="80">
        <v>-428.45082002299995</v>
      </c>
      <c r="H713" s="80">
        <v>3.2000000000000001E-2</v>
      </c>
      <c r="I713" s="80">
        <v>1.1349360549803844</v>
      </c>
      <c r="J713" s="80">
        <v>0.17013972008457323</v>
      </c>
      <c r="K713" s="80">
        <v>-46.394323126345391</v>
      </c>
      <c r="L713" s="80">
        <v>0.97708367958171261</v>
      </c>
      <c r="N713" s="56">
        <v>14</v>
      </c>
      <c r="O713" s="56">
        <v>31</v>
      </c>
    </row>
    <row r="714" spans="1:24" x14ac:dyDescent="0.2">
      <c r="A714" s="56">
        <v>3584</v>
      </c>
      <c r="B714" s="56">
        <v>1291</v>
      </c>
      <c r="C714" s="4">
        <v>43386</v>
      </c>
      <c r="D714" s="160" t="s">
        <v>1260</v>
      </c>
      <c r="E714" s="80">
        <v>-58.486952502999998</v>
      </c>
      <c r="F714" s="80">
        <v>5.0000000000000001E-3</v>
      </c>
      <c r="G714" s="80">
        <v>-427.21450501699996</v>
      </c>
      <c r="H714" s="80">
        <v>4.4999999999999998E-2</v>
      </c>
      <c r="I714" s="80">
        <v>1.0904532926476751</v>
      </c>
      <c r="J714" s="80">
        <v>0.20389776284609384</v>
      </c>
      <c r="K714" s="80">
        <v>-45.200741276871682</v>
      </c>
      <c r="L714" s="80">
        <v>1.3975557880731058</v>
      </c>
      <c r="N714" s="56">
        <v>14</v>
      </c>
      <c r="O714" s="56">
        <v>16</v>
      </c>
    </row>
    <row r="715" spans="1:24" s="96" customFormat="1" x14ac:dyDescent="0.2">
      <c r="A715" s="94">
        <v>3624</v>
      </c>
      <c r="B715" s="94">
        <v>1292</v>
      </c>
      <c r="C715" s="95">
        <v>43566</v>
      </c>
      <c r="D715" s="162" t="s">
        <v>785</v>
      </c>
      <c r="E715" s="97">
        <v>-25.871131639000001</v>
      </c>
      <c r="F715" s="97">
        <v>0.22900000000000001</v>
      </c>
      <c r="G715" s="97">
        <v>-153.907973097</v>
      </c>
      <c r="H715" s="97">
        <v>7.4999999999999997E-2</v>
      </c>
      <c r="I715" s="97">
        <v>3.2996442100758916</v>
      </c>
      <c r="J715" s="97">
        <v>0.42445869694651639</v>
      </c>
      <c r="K715" s="97">
        <v>9.2349492530550137</v>
      </c>
      <c r="L715" s="97">
        <v>0.78290704726688609</v>
      </c>
      <c r="M715" s="162" t="s">
        <v>1262</v>
      </c>
      <c r="N715" s="94">
        <v>13</v>
      </c>
      <c r="O715" s="94">
        <v>30</v>
      </c>
      <c r="P715" s="97"/>
      <c r="Q715" s="97"/>
      <c r="R715" s="97"/>
      <c r="S715" s="97"/>
      <c r="T715" s="97"/>
      <c r="U715" s="97"/>
      <c r="V715" s="162"/>
      <c r="W715" s="133"/>
      <c r="X715" s="133"/>
    </row>
    <row r="716" spans="1:24" x14ac:dyDescent="0.2">
      <c r="A716" s="56">
        <v>3626</v>
      </c>
      <c r="B716" s="56">
        <v>1293</v>
      </c>
      <c r="C716" s="4">
        <v>43567</v>
      </c>
      <c r="D716" s="160" t="s">
        <v>1263</v>
      </c>
      <c r="E716" s="80">
        <v>-44.128900927000004</v>
      </c>
      <c r="F716" s="80">
        <v>1.2999999999999999E-2</v>
      </c>
      <c r="G716" s="80">
        <v>-324.30115999700001</v>
      </c>
      <c r="H716" s="80">
        <v>4.2999999999999997E-2</v>
      </c>
      <c r="I716" s="80">
        <v>1.5111087379680033</v>
      </c>
      <c r="J716" s="80">
        <v>0.19248887216946886</v>
      </c>
      <c r="K716" s="80">
        <v>-35.382646459096719</v>
      </c>
      <c r="L716" s="80">
        <v>1.1895558076828465</v>
      </c>
      <c r="N716" s="56">
        <v>12</v>
      </c>
      <c r="O716" s="56">
        <v>20</v>
      </c>
    </row>
    <row r="717" spans="1:24" x14ac:dyDescent="0.2">
      <c r="A717" s="56">
        <v>3630</v>
      </c>
      <c r="B717" s="56">
        <v>1294</v>
      </c>
      <c r="C717" s="4">
        <v>43568</v>
      </c>
      <c r="D717" s="160" t="s">
        <v>1261</v>
      </c>
      <c r="E717" s="80">
        <v>-59.886727659999998</v>
      </c>
      <c r="F717" s="80">
        <v>1.2999999999999999E-2</v>
      </c>
      <c r="G717" s="80">
        <v>-338.04928394499996</v>
      </c>
      <c r="H717" s="80">
        <v>5.0999999999999997E-2</v>
      </c>
      <c r="I717" s="80">
        <v>-2.331978457093653</v>
      </c>
      <c r="J717" s="80">
        <v>0.23605116688825842</v>
      </c>
      <c r="K717" s="80">
        <v>-43.887606646324294</v>
      </c>
      <c r="L717" s="80">
        <v>1.0949264832317782</v>
      </c>
      <c r="N717" s="56">
        <v>19</v>
      </c>
      <c r="O717" s="56">
        <v>21</v>
      </c>
    </row>
    <row r="718" spans="1:24" x14ac:dyDescent="0.2">
      <c r="A718" s="94">
        <v>3632</v>
      </c>
      <c r="B718" s="94">
        <v>1295</v>
      </c>
      <c r="C718" s="95">
        <v>43569</v>
      </c>
      <c r="D718" s="162" t="s">
        <v>785</v>
      </c>
      <c r="E718" s="97">
        <v>-25.585011045999998</v>
      </c>
      <c r="F718" s="97">
        <v>0.02</v>
      </c>
      <c r="G718" s="97">
        <v>-153.760255094</v>
      </c>
      <c r="H718" s="97">
        <v>4.1000000000000002E-2</v>
      </c>
      <c r="I718" s="97">
        <v>3.7752974863689559</v>
      </c>
      <c r="J718" s="97">
        <v>0.17647630543653639</v>
      </c>
      <c r="K718" s="97">
        <v>9.2272435498461647</v>
      </c>
      <c r="L718" s="97">
        <v>0.85016922973445952</v>
      </c>
      <c r="M718" s="162"/>
      <c r="N718" s="94">
        <v>14</v>
      </c>
      <c r="O718" s="94">
        <v>30</v>
      </c>
    </row>
    <row r="719" spans="1:24" x14ac:dyDescent="0.2">
      <c r="A719" s="56">
        <v>3634</v>
      </c>
      <c r="B719" s="56">
        <v>1296</v>
      </c>
      <c r="C719" s="4">
        <v>43570</v>
      </c>
      <c r="D719" s="160" t="s">
        <v>1264</v>
      </c>
      <c r="E719" s="80">
        <v>-63.265262742999994</v>
      </c>
      <c r="F719" s="80">
        <v>1.2E-2</v>
      </c>
      <c r="G719" s="80">
        <v>-364.45128956399998</v>
      </c>
      <c r="H719" s="80">
        <v>3.7999999999999999E-2</v>
      </c>
      <c r="I719" s="80">
        <v>2.6331973225022232</v>
      </c>
      <c r="J719" s="80">
        <v>0.16568473390823305</v>
      </c>
      <c r="K719" s="80">
        <v>-19.106239573725368</v>
      </c>
      <c r="L719" s="80">
        <v>0.97597390653031091</v>
      </c>
      <c r="N719" s="56">
        <v>14</v>
      </c>
      <c r="O719" s="56">
        <v>28</v>
      </c>
    </row>
    <row r="720" spans="1:24" x14ac:dyDescent="0.2">
      <c r="A720" s="56">
        <v>3638</v>
      </c>
      <c r="B720" s="56">
        <v>1297</v>
      </c>
      <c r="C720" s="4">
        <v>43571</v>
      </c>
      <c r="D720" s="160" t="s">
        <v>1265</v>
      </c>
      <c r="E720" s="80">
        <v>-51.404263614999998</v>
      </c>
      <c r="F720" s="80">
        <v>0.02</v>
      </c>
      <c r="G720" s="80">
        <v>-211.20374068100003</v>
      </c>
      <c r="H720" s="80">
        <v>5.3999999999999999E-2</v>
      </c>
      <c r="I720" s="80">
        <v>3.8649233293368557</v>
      </c>
      <c r="J720" s="80">
        <v>0.19621524546425381</v>
      </c>
      <c r="K720" s="80">
        <v>4.1484033008447607</v>
      </c>
      <c r="L720" s="80">
        <v>1.2507648967784621</v>
      </c>
      <c r="N720" s="56">
        <v>13</v>
      </c>
      <c r="O720" s="56">
        <v>16</v>
      </c>
    </row>
    <row r="721" spans="1:15" x14ac:dyDescent="0.2">
      <c r="A721" s="56">
        <v>3641</v>
      </c>
      <c r="B721" s="56">
        <v>1298</v>
      </c>
      <c r="C721" s="4">
        <v>43572</v>
      </c>
      <c r="D721" s="160" t="s">
        <v>1266</v>
      </c>
      <c r="E721" s="80">
        <v>-40.152113695000004</v>
      </c>
      <c r="F721" s="80">
        <v>4.5999999999999999E-2</v>
      </c>
      <c r="G721" s="80">
        <v>-308.84628154299998</v>
      </c>
      <c r="H721" s="80">
        <v>6.4000000000000001E-2</v>
      </c>
      <c r="I721" s="80">
        <v>5.058398265010311</v>
      </c>
      <c r="J721" s="80">
        <v>0.8067668274903087</v>
      </c>
      <c r="K721" s="80">
        <v>17.000377856261515</v>
      </c>
      <c r="L721" s="80">
        <v>1.4124556177317082</v>
      </c>
      <c r="N721" s="56">
        <v>1</v>
      </c>
      <c r="O721" s="56">
        <v>16</v>
      </c>
    </row>
    <row r="722" spans="1:15" x14ac:dyDescent="0.2">
      <c r="A722" s="56">
        <v>3645</v>
      </c>
      <c r="B722" s="56">
        <v>1299</v>
      </c>
      <c r="C722" s="4">
        <v>43573</v>
      </c>
      <c r="D722" s="160" t="s">
        <v>1267</v>
      </c>
      <c r="E722" s="80">
        <v>-57.402199009</v>
      </c>
      <c r="F722" s="80">
        <v>1.9E-2</v>
      </c>
      <c r="G722" s="80">
        <v>-385.59660421000001</v>
      </c>
      <c r="H722" s="80">
        <v>0.104</v>
      </c>
      <c r="I722" s="80">
        <v>2.1378953920396793</v>
      </c>
      <c r="J722" s="80">
        <v>0.36028084176194536</v>
      </c>
      <c r="K722" s="80">
        <v>-8.2839540761614483</v>
      </c>
      <c r="L722" s="80">
        <v>2.3693152590316737</v>
      </c>
      <c r="N722" s="56">
        <v>7</v>
      </c>
      <c r="O722" s="56">
        <v>7</v>
      </c>
    </row>
    <row r="723" spans="1:15" x14ac:dyDescent="0.2">
      <c r="A723" s="56">
        <v>3648</v>
      </c>
      <c r="B723" s="56">
        <v>1300</v>
      </c>
      <c r="C723" s="4">
        <v>43574</v>
      </c>
      <c r="D723" s="160" t="s">
        <v>1268</v>
      </c>
      <c r="E723" s="80">
        <v>-40.098165031000001</v>
      </c>
      <c r="F723" s="80">
        <v>1.6E-2</v>
      </c>
      <c r="G723" s="80">
        <v>-306.543009751</v>
      </c>
      <c r="H723" s="80">
        <v>5.5E-2</v>
      </c>
      <c r="I723" s="80">
        <v>5.4439279757063641</v>
      </c>
      <c r="J723" s="80">
        <v>0.24000475730522583</v>
      </c>
      <c r="K723" s="80">
        <v>16.74869232742715</v>
      </c>
      <c r="L723" s="80">
        <v>1.3574007691755106</v>
      </c>
      <c r="N723" s="56">
        <v>12</v>
      </c>
      <c r="O723" s="56">
        <v>16</v>
      </c>
    </row>
    <row r="724" spans="1:15" x14ac:dyDescent="0.2">
      <c r="A724" s="56">
        <v>3650</v>
      </c>
      <c r="B724" s="56">
        <v>1301</v>
      </c>
      <c r="C724" s="4">
        <v>43576</v>
      </c>
      <c r="D724" s="160" t="s">
        <v>1269</v>
      </c>
      <c r="E724" s="80">
        <v>-23.036900040999999</v>
      </c>
      <c r="F724" s="80">
        <v>2.9000000000000001E-2</v>
      </c>
      <c r="G724" s="80">
        <v>-166.340748203</v>
      </c>
      <c r="H724" s="80">
        <v>5.8999999999999997E-2</v>
      </c>
      <c r="I724" s="80">
        <v>2.5677353348294574</v>
      </c>
      <c r="J724" s="80">
        <v>0.23413955245178042</v>
      </c>
      <c r="K724" s="80">
        <v>9.5338102363935473</v>
      </c>
      <c r="L724" s="80">
        <v>1.0345810671435596</v>
      </c>
      <c r="N724" s="56">
        <v>10</v>
      </c>
      <c r="O724" s="56">
        <v>18</v>
      </c>
    </row>
    <row r="725" spans="1:15" x14ac:dyDescent="0.2">
      <c r="A725" s="56">
        <v>3654</v>
      </c>
      <c r="B725" s="56">
        <v>1302</v>
      </c>
      <c r="C725" s="4">
        <v>43577</v>
      </c>
      <c r="D725" s="160" t="s">
        <v>1270</v>
      </c>
      <c r="E725" s="80">
        <v>-46.875465945999998</v>
      </c>
      <c r="F725" s="80">
        <v>0.08</v>
      </c>
      <c r="G725" s="80">
        <v>-219.95109274400002</v>
      </c>
      <c r="H725" s="80">
        <v>6.0999999999999999E-2</v>
      </c>
      <c r="I725" s="80">
        <v>4.9186568812744635</v>
      </c>
      <c r="J725" s="80">
        <v>0.21963735234181847</v>
      </c>
      <c r="K725" s="80">
        <v>18.234887078020456</v>
      </c>
      <c r="L725" s="80">
        <v>1.0099324206617846</v>
      </c>
      <c r="N725" s="56">
        <v>12</v>
      </c>
      <c r="O725" s="56">
        <v>21</v>
      </c>
    </row>
    <row r="726" spans="1:15" x14ac:dyDescent="0.2">
      <c r="A726" s="56">
        <v>3658</v>
      </c>
      <c r="B726" s="56">
        <v>1303</v>
      </c>
      <c r="C726" s="4">
        <v>43578</v>
      </c>
      <c r="D726" s="160" t="s">
        <v>1271</v>
      </c>
      <c r="E726" s="80">
        <v>-26.013710250999999</v>
      </c>
      <c r="F726" s="80">
        <v>0.08</v>
      </c>
      <c r="G726" s="80">
        <v>-188.07693486100001</v>
      </c>
      <c r="H726" s="80">
        <v>9.1999999999999998E-2</v>
      </c>
      <c r="I726" s="80">
        <v>2.467451929480946</v>
      </c>
      <c r="J726" s="80">
        <v>0.27806211499551037</v>
      </c>
      <c r="K726" s="80">
        <v>15.269169078144573</v>
      </c>
      <c r="L726" s="80">
        <v>1.2060529728821312</v>
      </c>
      <c r="N726" s="56">
        <v>7</v>
      </c>
      <c r="O726" s="56">
        <v>15</v>
      </c>
    </row>
    <row r="727" spans="1:15" x14ac:dyDescent="0.2">
      <c r="A727" s="56">
        <v>3660</v>
      </c>
      <c r="B727" s="56">
        <v>1306</v>
      </c>
      <c r="C727" s="4">
        <v>43578</v>
      </c>
      <c r="D727" s="160" t="s">
        <v>1272</v>
      </c>
      <c r="E727" s="80">
        <v>-17.357839786</v>
      </c>
      <c r="F727" s="80">
        <v>6.5000000000000002E-2</v>
      </c>
      <c r="G727" s="80">
        <v>-129.81488454399999</v>
      </c>
      <c r="H727" s="80">
        <v>7.3999999999999996E-2</v>
      </c>
      <c r="I727" s="80">
        <v>2.0154528885996115</v>
      </c>
      <c r="J727" s="80">
        <v>0.39104242149560531</v>
      </c>
      <c r="K727" s="80">
        <v>3.4385511449190886</v>
      </c>
      <c r="L727" s="80">
        <v>1.3772087398908264</v>
      </c>
      <c r="N727" s="56">
        <v>5</v>
      </c>
      <c r="O727" s="56">
        <v>15</v>
      </c>
    </row>
    <row r="728" spans="1:15" x14ac:dyDescent="0.2">
      <c r="A728" s="56">
        <v>3665</v>
      </c>
      <c r="B728" s="56">
        <v>1307</v>
      </c>
      <c r="C728" s="4">
        <v>43579</v>
      </c>
      <c r="D728" s="160" t="s">
        <v>1273</v>
      </c>
      <c r="E728" s="80">
        <v>-24.211246852000002</v>
      </c>
      <c r="F728" s="80">
        <v>0.122</v>
      </c>
      <c r="G728" s="80">
        <v>-240.93739883900002</v>
      </c>
      <c r="H728" s="80">
        <v>5.8000000000000003E-2</v>
      </c>
      <c r="I728" s="80">
        <v>2.54970728644488</v>
      </c>
      <c r="J728" s="80">
        <v>0.37491869851441384</v>
      </c>
      <c r="K728" s="80">
        <v>3.4708351586345554</v>
      </c>
      <c r="L728" s="80">
        <v>1.3825094072609188</v>
      </c>
      <c r="N728" s="56">
        <v>10</v>
      </c>
      <c r="O728" s="56">
        <v>15</v>
      </c>
    </row>
    <row r="729" spans="1:15" x14ac:dyDescent="0.2">
      <c r="A729" s="56">
        <v>3702</v>
      </c>
      <c r="B729" s="56">
        <v>1337</v>
      </c>
      <c r="C729" s="4">
        <v>43592</v>
      </c>
      <c r="D729" s="160" t="s">
        <v>1274</v>
      </c>
      <c r="E729" s="80">
        <v>-20.362587696999999</v>
      </c>
      <c r="F729" s="80">
        <v>2.1000000000000001E-2</v>
      </c>
      <c r="G729" s="80">
        <v>-151.26880750199999</v>
      </c>
      <c r="H729" s="80">
        <v>5.7000000000000002E-2</v>
      </c>
      <c r="I729" s="80">
        <v>3.3184982521403672</v>
      </c>
      <c r="J729" s="80">
        <v>0.25629730076722879</v>
      </c>
      <c r="K729" s="80">
        <v>3.3500665161689813</v>
      </c>
      <c r="L729" s="80">
        <v>1.4057272565501837</v>
      </c>
      <c r="N729" s="56">
        <v>12</v>
      </c>
      <c r="O729" s="56">
        <v>23</v>
      </c>
    </row>
    <row r="730" spans="1:15" x14ac:dyDescent="0.2">
      <c r="A730" s="56">
        <v>3704</v>
      </c>
      <c r="B730" s="56">
        <v>1338</v>
      </c>
      <c r="C730" s="4">
        <v>43593</v>
      </c>
      <c r="D730" s="160" t="s">
        <v>1275</v>
      </c>
      <c r="E730" s="80">
        <v>-43.543172575</v>
      </c>
      <c r="F730" s="80">
        <v>1.4999999999999999E-2</v>
      </c>
      <c r="G730" s="80">
        <v>-355.71334629099999</v>
      </c>
      <c r="H730" s="80">
        <v>3.3000000000000002E-2</v>
      </c>
      <c r="I730" s="80">
        <v>-0.7021847418084981</v>
      </c>
      <c r="J730" s="80">
        <v>0.23781813768843788</v>
      </c>
      <c r="K730" s="80">
        <v>-39.531614622545504</v>
      </c>
      <c r="L730" s="80">
        <v>1.0852926537426821</v>
      </c>
      <c r="N730" s="56">
        <v>14</v>
      </c>
      <c r="O730" s="56">
        <v>20</v>
      </c>
    </row>
    <row r="731" spans="1:15" x14ac:dyDescent="0.2">
      <c r="A731" s="56">
        <v>3706</v>
      </c>
      <c r="B731" s="56">
        <v>1339</v>
      </c>
      <c r="C731" s="4">
        <v>43594</v>
      </c>
      <c r="D731" s="160" t="s">
        <v>1276</v>
      </c>
      <c r="E731" s="80">
        <v>-59.598680329000004</v>
      </c>
      <c r="F731" s="80">
        <v>8.0000000000000002E-3</v>
      </c>
      <c r="G731" s="80">
        <v>-268.16267358300001</v>
      </c>
      <c r="H731" s="80">
        <v>3.5000000000000003E-2</v>
      </c>
      <c r="I731" s="80">
        <v>-1.9184133905618683</v>
      </c>
      <c r="J731" s="80">
        <v>0.1848428077137558</v>
      </c>
      <c r="K731" s="80">
        <v>-43.524907467514808</v>
      </c>
      <c r="L731" s="80">
        <v>0.940581397413631</v>
      </c>
      <c r="N731" s="56">
        <v>16</v>
      </c>
      <c r="O731" s="56">
        <v>26</v>
      </c>
    </row>
    <row r="732" spans="1:15" x14ac:dyDescent="0.2">
      <c r="A732" s="56">
        <v>3710</v>
      </c>
      <c r="B732" s="56">
        <v>1340</v>
      </c>
      <c r="C732" s="4">
        <v>43595</v>
      </c>
      <c r="D732" s="160" t="s">
        <v>1277</v>
      </c>
      <c r="E732" s="80">
        <v>-59.087131390000003</v>
      </c>
      <c r="F732" s="80">
        <v>5.0000000000000001E-3</v>
      </c>
      <c r="G732" s="80">
        <v>-266.29502876800001</v>
      </c>
      <c r="H732" s="80">
        <v>2.7E-2</v>
      </c>
      <c r="I732" s="80">
        <v>-2.0579089074287404</v>
      </c>
      <c r="J732" s="80">
        <v>0.17422336452298701</v>
      </c>
      <c r="K732" s="80">
        <v>-44.615600409978697</v>
      </c>
      <c r="L732" s="80">
        <v>0.92154348139992348</v>
      </c>
      <c r="N732" s="56">
        <v>15</v>
      </c>
      <c r="O732" s="56">
        <v>30</v>
      </c>
    </row>
    <row r="733" spans="1:15" x14ac:dyDescent="0.2">
      <c r="A733" s="56">
        <v>3713</v>
      </c>
      <c r="B733" s="56">
        <v>1341</v>
      </c>
      <c r="C733" s="4">
        <v>43596</v>
      </c>
      <c r="D733" s="160" t="s">
        <v>1278</v>
      </c>
      <c r="E733" s="80">
        <v>-57.689282971000004</v>
      </c>
      <c r="F733" s="80">
        <v>6.0000000000000001E-3</v>
      </c>
      <c r="G733" s="80">
        <v>-267.12394316699999</v>
      </c>
      <c r="H733" s="80">
        <v>0.02</v>
      </c>
      <c r="I733" s="80">
        <v>-2.1461149613406505</v>
      </c>
      <c r="J733" s="80">
        <v>0.15580622623138049</v>
      </c>
      <c r="K733" s="80">
        <v>-45.157266921539652</v>
      </c>
      <c r="L733" s="80">
        <v>0.87825839314501764</v>
      </c>
      <c r="N733" s="56">
        <v>15</v>
      </c>
      <c r="O733" s="56">
        <v>25</v>
      </c>
    </row>
    <row r="734" spans="1:15" x14ac:dyDescent="0.2">
      <c r="A734" s="56">
        <v>3716</v>
      </c>
      <c r="B734" s="56">
        <v>1342</v>
      </c>
      <c r="C734" s="4">
        <v>43597</v>
      </c>
      <c r="D734" s="160" t="s">
        <v>1279</v>
      </c>
      <c r="E734" s="80">
        <v>-57.125712106000002</v>
      </c>
      <c r="F734" s="80">
        <v>7.0000000000000001E-3</v>
      </c>
      <c r="G734" s="80">
        <v>-433.46664597199998</v>
      </c>
      <c r="H734" s="80">
        <v>2.7E-2</v>
      </c>
      <c r="I734" s="80">
        <v>0.95740465133742347</v>
      </c>
      <c r="J734" s="80">
        <v>0.20036245159903021</v>
      </c>
      <c r="K734" s="80">
        <v>-39.839999742772527</v>
      </c>
      <c r="L734" s="80">
        <v>1.2181677751439954</v>
      </c>
      <c r="N734" s="56">
        <v>14</v>
      </c>
      <c r="O734" s="56">
        <v>27</v>
      </c>
    </row>
    <row r="735" spans="1:15" x14ac:dyDescent="0.2">
      <c r="A735" s="56">
        <v>3718</v>
      </c>
      <c r="B735" s="56">
        <v>1343</v>
      </c>
      <c r="C735" s="4">
        <v>43598</v>
      </c>
      <c r="D735" s="160" t="s">
        <v>1280</v>
      </c>
      <c r="E735" s="80">
        <v>-58.880007055</v>
      </c>
      <c r="F735" s="80">
        <v>4.0000000000000001E-3</v>
      </c>
      <c r="G735" s="80">
        <v>-344.43879323399995</v>
      </c>
      <c r="H735" s="80">
        <v>0.02</v>
      </c>
      <c r="I735" s="80">
        <v>-0.31893196017074299</v>
      </c>
      <c r="J735" s="80">
        <v>0.22664199176094385</v>
      </c>
      <c r="K735" s="80">
        <v>-40.877103800717961</v>
      </c>
      <c r="L735" s="80">
        <v>0.9358690469308597</v>
      </c>
      <c r="N735" s="56">
        <v>18</v>
      </c>
      <c r="O735" s="56">
        <v>25</v>
      </c>
    </row>
    <row r="736" spans="1:15" x14ac:dyDescent="0.2">
      <c r="A736" s="56">
        <v>3720</v>
      </c>
      <c r="B736" s="56">
        <v>1344</v>
      </c>
      <c r="C736" s="4">
        <v>43599</v>
      </c>
      <c r="D736" s="160" t="s">
        <v>1281</v>
      </c>
      <c r="E736" s="80">
        <v>-90.385063462000005</v>
      </c>
      <c r="F736" s="80">
        <v>0.01</v>
      </c>
      <c r="G736" s="80">
        <v>-196.76595242600001</v>
      </c>
      <c r="H736" s="80">
        <v>2.4E-2</v>
      </c>
      <c r="I736" s="80">
        <v>5.9564860699867772</v>
      </c>
      <c r="J736" s="80">
        <v>0.16408296919126636</v>
      </c>
      <c r="K736" s="80">
        <v>16.327298293772998</v>
      </c>
      <c r="L736" s="80">
        <v>0.94003600363946949</v>
      </c>
      <c r="N736" s="56">
        <v>14</v>
      </c>
      <c r="O736" s="56">
        <v>28</v>
      </c>
    </row>
    <row r="737" spans="1:24" x14ac:dyDescent="0.2">
      <c r="A737" s="56">
        <v>3723</v>
      </c>
      <c r="B737" s="56">
        <v>1345</v>
      </c>
      <c r="C737" s="4">
        <v>43600</v>
      </c>
      <c r="D737" s="160" t="s">
        <v>1282</v>
      </c>
      <c r="E737" s="80">
        <v>-102.848168215</v>
      </c>
      <c r="F737" s="80">
        <v>1.2E-2</v>
      </c>
      <c r="G737" s="80">
        <v>-256.873066462</v>
      </c>
      <c r="H737" s="80">
        <v>2.1999999999999999E-2</v>
      </c>
      <c r="I737" s="80">
        <v>5.4093285543925784</v>
      </c>
      <c r="J737" s="80">
        <v>0.2682535575745561</v>
      </c>
      <c r="K737" s="80">
        <v>9.6676733931804204</v>
      </c>
      <c r="L737" s="80">
        <v>0.84969689463632148</v>
      </c>
      <c r="N737" s="56">
        <v>18</v>
      </c>
      <c r="O737" s="56">
        <v>29</v>
      </c>
    </row>
    <row r="738" spans="1:24" x14ac:dyDescent="0.2">
      <c r="A738" s="56">
        <v>3726</v>
      </c>
      <c r="B738" s="56">
        <v>1346</v>
      </c>
      <c r="C738" s="4">
        <v>43601</v>
      </c>
      <c r="D738" s="160" t="s">
        <v>1283</v>
      </c>
      <c r="E738" s="80">
        <v>-15.083325577</v>
      </c>
      <c r="F738" s="80">
        <v>1.7000000000000001E-2</v>
      </c>
      <c r="G738" s="80">
        <v>74.13663364899999</v>
      </c>
      <c r="H738" s="80">
        <v>2.5999999999999999E-2</v>
      </c>
      <c r="I738" s="80">
        <v>-0.95952148346467592</v>
      </c>
      <c r="J738" s="80">
        <v>0.27305498060211114</v>
      </c>
      <c r="K738" s="80">
        <v>20.223856551453643</v>
      </c>
      <c r="L738" s="80">
        <v>0.7520044135246462</v>
      </c>
      <c r="N738" s="56">
        <v>16</v>
      </c>
      <c r="O738" s="56">
        <v>25</v>
      </c>
    </row>
    <row r="739" spans="1:24" x14ac:dyDescent="0.2">
      <c r="A739" s="56">
        <v>3728</v>
      </c>
      <c r="B739" s="56">
        <v>1347</v>
      </c>
      <c r="C739" s="4">
        <v>43606</v>
      </c>
      <c r="D739" s="160" t="s">
        <v>1284</v>
      </c>
      <c r="E739" s="80">
        <v>-19.096720830999999</v>
      </c>
      <c r="F739" s="80">
        <v>4.2000000000000003E-2</v>
      </c>
      <c r="G739" s="80">
        <v>31.170453235</v>
      </c>
      <c r="H739" s="80">
        <v>3.1E-2</v>
      </c>
      <c r="I739" s="80">
        <v>-0.61624258428571999</v>
      </c>
      <c r="J739" s="80">
        <v>0.38323145568891881</v>
      </c>
      <c r="K739" s="80">
        <v>16.983147548943258</v>
      </c>
      <c r="L739" s="80">
        <v>0.64521131805518772</v>
      </c>
      <c r="N739" s="56">
        <v>3</v>
      </c>
      <c r="O739" s="56">
        <v>34</v>
      </c>
    </row>
    <row r="740" spans="1:24" x14ac:dyDescent="0.2">
      <c r="A740" s="56">
        <v>3730</v>
      </c>
      <c r="B740" s="56">
        <v>1347</v>
      </c>
      <c r="C740" s="4">
        <v>43607</v>
      </c>
      <c r="D740" s="160" t="s">
        <v>1285</v>
      </c>
      <c r="E740" s="80">
        <v>-31.253474241999999</v>
      </c>
      <c r="F740" s="80">
        <v>5.1999999999999998E-2</v>
      </c>
      <c r="G740" s="80">
        <v>-74.02828687600001</v>
      </c>
      <c r="H740" s="80">
        <v>1.9E-2</v>
      </c>
      <c r="I740" s="80">
        <v>-1.1483433850868474</v>
      </c>
      <c r="J740" s="80">
        <v>0.36092752817039303</v>
      </c>
      <c r="K740" s="80">
        <v>-2.4191025509545661</v>
      </c>
      <c r="L740" s="80">
        <v>0.65317123091296614</v>
      </c>
      <c r="M740" s="160" t="s">
        <v>1292</v>
      </c>
      <c r="N740" s="56">
        <v>15</v>
      </c>
      <c r="O740" s="56">
        <v>35</v>
      </c>
    </row>
    <row r="741" spans="1:24" x14ac:dyDescent="0.2">
      <c r="A741" s="56">
        <v>3726</v>
      </c>
      <c r="B741" s="56">
        <v>1349</v>
      </c>
      <c r="C741" s="4">
        <v>43608</v>
      </c>
      <c r="D741" s="160" t="s">
        <v>1286</v>
      </c>
      <c r="E741" s="80">
        <v>-65.928978028000003</v>
      </c>
      <c r="F741" s="80">
        <v>0.01</v>
      </c>
      <c r="G741" s="80">
        <v>-234.77934578400001</v>
      </c>
      <c r="H741" s="80">
        <v>2.3E-2</v>
      </c>
      <c r="I741" s="80">
        <v>5.0819606103318371</v>
      </c>
      <c r="J741" s="80">
        <v>0.28440399755017037</v>
      </c>
      <c r="K741" s="80">
        <v>2.8121583716427256</v>
      </c>
      <c r="L741" s="80">
        <v>0.93040027693095839</v>
      </c>
      <c r="N741" s="56">
        <v>19</v>
      </c>
      <c r="O741" s="56">
        <v>23</v>
      </c>
    </row>
    <row r="742" spans="1:24" x14ac:dyDescent="0.2">
      <c r="A742" s="56">
        <v>3737</v>
      </c>
      <c r="B742" s="56">
        <v>1352</v>
      </c>
      <c r="C742" s="4">
        <v>43610</v>
      </c>
      <c r="D742" s="160" t="s">
        <v>1287</v>
      </c>
      <c r="E742" s="80">
        <v>-91.062311868999998</v>
      </c>
      <c r="F742" s="80">
        <v>0.03</v>
      </c>
      <c r="G742" s="80">
        <v>-197.43774003200002</v>
      </c>
      <c r="H742" s="80">
        <v>1.9E-2</v>
      </c>
      <c r="I742" s="80">
        <v>6.1073341679496185</v>
      </c>
      <c r="J742" s="80">
        <v>0.19043100970991991</v>
      </c>
      <c r="K742" s="80">
        <v>16.81139064899839</v>
      </c>
      <c r="L742" s="80">
        <v>0.79068307570969232</v>
      </c>
      <c r="N742" s="56">
        <v>11</v>
      </c>
      <c r="O742" s="56">
        <v>23</v>
      </c>
    </row>
    <row r="743" spans="1:24" x14ac:dyDescent="0.2">
      <c r="A743" s="56">
        <v>3742</v>
      </c>
      <c r="B743" s="56">
        <v>1353</v>
      </c>
      <c r="C743" s="4">
        <v>43611</v>
      </c>
      <c r="D743" s="160" t="s">
        <v>1288</v>
      </c>
      <c r="E743" s="80">
        <v>-91.811812950999993</v>
      </c>
      <c r="F743" s="80">
        <v>1.2E-2</v>
      </c>
      <c r="G743" s="80">
        <v>-197.37564201800001</v>
      </c>
      <c r="H743" s="80">
        <v>0.02</v>
      </c>
      <c r="I743" s="80">
        <v>6.1919922677033945</v>
      </c>
      <c r="J743" s="80">
        <v>0.20199138775120282</v>
      </c>
      <c r="K743" s="80">
        <v>19.158453265623045</v>
      </c>
      <c r="L743" s="80">
        <v>0.81312076141288159</v>
      </c>
      <c r="N743" s="56">
        <v>14</v>
      </c>
      <c r="O743" s="56">
        <v>29</v>
      </c>
    </row>
    <row r="744" spans="1:24" x14ac:dyDescent="0.2">
      <c r="A744" s="56">
        <v>3744</v>
      </c>
      <c r="B744" s="56">
        <v>1354</v>
      </c>
      <c r="C744" s="4">
        <v>43612</v>
      </c>
      <c r="D744" s="160" t="s">
        <v>1289</v>
      </c>
      <c r="E744" s="80">
        <v>-92.227988358999994</v>
      </c>
      <c r="F744" s="80">
        <v>2.8000000000000001E-2</v>
      </c>
      <c r="G744" s="80">
        <v>-197.407631904</v>
      </c>
      <c r="H744" s="80">
        <v>5.0999999999999997E-2</v>
      </c>
      <c r="I744" s="80">
        <v>6.2579785565024526</v>
      </c>
      <c r="J744" s="80">
        <v>0.20185484264822576</v>
      </c>
      <c r="K744" s="80">
        <v>17.966804049946326</v>
      </c>
      <c r="L744" s="80">
        <v>1.5546302562577401</v>
      </c>
      <c r="M744" s="160" t="s">
        <v>1291</v>
      </c>
      <c r="N744" s="56">
        <v>15</v>
      </c>
      <c r="O744" s="56">
        <v>22</v>
      </c>
    </row>
    <row r="745" spans="1:24" x14ac:dyDescent="0.2">
      <c r="A745" s="56">
        <v>3752</v>
      </c>
      <c r="B745" s="56">
        <v>1355</v>
      </c>
      <c r="C745" s="4">
        <v>43612</v>
      </c>
      <c r="D745" s="160" t="s">
        <v>1294</v>
      </c>
      <c r="E745" s="80">
        <v>-26.547416677000001</v>
      </c>
      <c r="F745" s="80">
        <v>0.28299999999999997</v>
      </c>
      <c r="G745" s="80">
        <v>-63.940182237999998</v>
      </c>
      <c r="H745" s="80">
        <v>0.03</v>
      </c>
      <c r="I745" s="80">
        <v>1.1267349654653369</v>
      </c>
      <c r="J745" s="80">
        <v>0.74020261549228228</v>
      </c>
      <c r="K745" s="80">
        <v>-5.8873158124357339</v>
      </c>
      <c r="L745" s="80">
        <v>0.83655044528725242</v>
      </c>
      <c r="M745" s="160" t="s">
        <v>1292</v>
      </c>
      <c r="N745" s="56">
        <v>13</v>
      </c>
      <c r="O745" s="56">
        <v>24</v>
      </c>
    </row>
    <row r="746" spans="1:24" x14ac:dyDescent="0.2">
      <c r="A746" s="56">
        <v>3754</v>
      </c>
      <c r="B746" s="56">
        <v>1356</v>
      </c>
      <c r="C746" s="4">
        <v>43614</v>
      </c>
      <c r="D746" s="160" t="s">
        <v>1290</v>
      </c>
      <c r="E746" s="80">
        <v>-93.756854962000006</v>
      </c>
      <c r="F746" s="80">
        <v>2.5000000000000001E-2</v>
      </c>
      <c r="G746" s="80">
        <v>-197.50736507799999</v>
      </c>
      <c r="H746" s="80">
        <v>1.9E-2</v>
      </c>
      <c r="I746" s="80">
        <v>6.3907904001963001</v>
      </c>
      <c r="J746" s="80">
        <v>0.19767603614058599</v>
      </c>
      <c r="K746" s="80">
        <v>19.208745709196062</v>
      </c>
      <c r="L746" s="80">
        <v>0.81186381436114008</v>
      </c>
      <c r="M746" s="160" t="s">
        <v>1292</v>
      </c>
      <c r="N746" s="56">
        <v>14</v>
      </c>
      <c r="O746" s="56">
        <v>26</v>
      </c>
    </row>
    <row r="747" spans="1:24" x14ac:dyDescent="0.2">
      <c r="A747" s="56">
        <v>3758</v>
      </c>
      <c r="B747" s="56">
        <v>1357</v>
      </c>
      <c r="C747" s="4">
        <v>43620</v>
      </c>
      <c r="D747" s="160" t="s">
        <v>1293</v>
      </c>
      <c r="E747" s="80">
        <v>-49.229939782000002</v>
      </c>
      <c r="F747" s="80">
        <v>3.2000000000000001E-2</v>
      </c>
      <c r="G747" s="80">
        <v>-593.60331089299996</v>
      </c>
      <c r="H747" s="80">
        <v>8.7999999999999995E-2</v>
      </c>
      <c r="I747" s="80">
        <v>8.3991598034753867</v>
      </c>
      <c r="J747" s="80">
        <v>0.40675518346048029</v>
      </c>
      <c r="K747" s="80">
        <v>-14.06312994052572</v>
      </c>
      <c r="L747" s="80">
        <v>4.389417255869799</v>
      </c>
      <c r="N747" s="56">
        <v>15</v>
      </c>
      <c r="O747" s="56">
        <v>5</v>
      </c>
    </row>
    <row r="748" spans="1:24" s="105" customFormat="1" x14ac:dyDescent="0.2">
      <c r="A748" s="117">
        <v>3760</v>
      </c>
      <c r="B748" s="117">
        <v>1358</v>
      </c>
      <c r="C748" s="118">
        <v>43620</v>
      </c>
      <c r="D748" s="169" t="s">
        <v>824</v>
      </c>
      <c r="E748" s="120">
        <v>-28.504019116000002</v>
      </c>
      <c r="F748" s="120">
        <v>0.01</v>
      </c>
      <c r="G748" s="120">
        <v>-156.88115073700001</v>
      </c>
      <c r="H748" s="120">
        <v>3.6999999999999998E-2</v>
      </c>
      <c r="I748" s="120">
        <v>5.1896932018640207</v>
      </c>
      <c r="J748" s="120">
        <v>0.3007239527818874</v>
      </c>
      <c r="K748" s="120">
        <v>12.748259575146026</v>
      </c>
      <c r="L748" s="120">
        <v>0.85626699243963622</v>
      </c>
      <c r="M748" s="169"/>
      <c r="N748" s="117">
        <v>11</v>
      </c>
      <c r="O748" s="117">
        <v>16</v>
      </c>
      <c r="P748" s="103"/>
      <c r="Q748" s="103"/>
      <c r="R748" s="103"/>
      <c r="S748" s="103"/>
      <c r="T748" s="103"/>
      <c r="U748" s="103"/>
      <c r="V748" s="168"/>
      <c r="W748" s="134"/>
      <c r="X748" s="134"/>
    </row>
    <row r="749" spans="1:24" x14ac:dyDescent="0.2">
      <c r="A749" s="117">
        <v>3765</v>
      </c>
      <c r="B749" s="117">
        <v>1359</v>
      </c>
      <c r="C749" s="118">
        <v>43624</v>
      </c>
      <c r="D749" s="169" t="s">
        <v>824</v>
      </c>
      <c r="E749" s="120">
        <v>-25.667860779999998</v>
      </c>
      <c r="F749" s="120">
        <v>1.2E-2</v>
      </c>
      <c r="G749" s="120">
        <v>-153.367908551</v>
      </c>
      <c r="H749" s="120">
        <v>3.5000000000000003E-2</v>
      </c>
      <c r="I749" s="120">
        <v>3.4635678683019311</v>
      </c>
      <c r="J749" s="120">
        <v>0.22243904649406762</v>
      </c>
      <c r="K749" s="120">
        <v>11.187018774934554</v>
      </c>
      <c r="L749" s="120">
        <v>0.75647430310903596</v>
      </c>
      <c r="M749" s="169"/>
      <c r="N749" s="117">
        <v>11</v>
      </c>
      <c r="O749" s="117">
        <v>24</v>
      </c>
    </row>
    <row r="750" spans="1:24" x14ac:dyDescent="0.2">
      <c r="A750" s="117">
        <v>3767</v>
      </c>
      <c r="B750" s="117">
        <v>1360</v>
      </c>
      <c r="C750" s="118">
        <v>43628</v>
      </c>
      <c r="D750" s="169" t="s">
        <v>824</v>
      </c>
      <c r="E750" s="120">
        <v>-26.035867738000004</v>
      </c>
      <c r="F750" s="120">
        <v>1.2E-2</v>
      </c>
      <c r="G750" s="120">
        <v>-153.18820066199999</v>
      </c>
      <c r="H750" s="120">
        <v>1.7999999999999999E-2</v>
      </c>
      <c r="I750" s="120">
        <v>1.176729023016021</v>
      </c>
      <c r="J750" s="120">
        <v>0.17410634140344017</v>
      </c>
      <c r="K750" s="120">
        <v>11.285807649624502</v>
      </c>
      <c r="L750" s="120">
        <v>0.59831451410917902</v>
      </c>
      <c r="M750" s="169"/>
      <c r="N750" s="117">
        <v>11</v>
      </c>
      <c r="O750" s="117">
        <v>30</v>
      </c>
    </row>
    <row r="751" spans="1:24" x14ac:dyDescent="0.2">
      <c r="A751" s="56">
        <v>3769</v>
      </c>
      <c r="B751" s="56">
        <v>1361</v>
      </c>
      <c r="C751" s="4">
        <v>43629</v>
      </c>
      <c r="D751" s="160" t="s">
        <v>1296</v>
      </c>
      <c r="E751" s="80">
        <v>-86.190554836000004</v>
      </c>
      <c r="F751" s="80">
        <v>8.0000000000000002E-3</v>
      </c>
      <c r="G751" s="80">
        <v>-288.66442699300001</v>
      </c>
      <c r="H751" s="80">
        <v>0.02</v>
      </c>
      <c r="I751" s="80">
        <v>-3.4223294760636902</v>
      </c>
      <c r="J751" s="80">
        <v>0.14900665400143484</v>
      </c>
      <c r="K751" s="80">
        <v>-42.369678399914456</v>
      </c>
      <c r="L751" s="80">
        <v>0.76534397294178713</v>
      </c>
      <c r="N751" s="56">
        <v>13</v>
      </c>
      <c r="O751" s="56">
        <v>27</v>
      </c>
    </row>
    <row r="752" spans="1:24" x14ac:dyDescent="0.2">
      <c r="A752" s="94">
        <v>3771</v>
      </c>
      <c r="B752" s="94">
        <v>1362</v>
      </c>
      <c r="C752" s="95">
        <v>43630</v>
      </c>
      <c r="D752" s="162" t="s">
        <v>824</v>
      </c>
      <c r="E752" s="97">
        <v>-26.002149823</v>
      </c>
      <c r="F752" s="97">
        <v>2.1999999999999999E-2</v>
      </c>
      <c r="G752" s="97">
        <v>-154.39158490300002</v>
      </c>
      <c r="H752" s="97">
        <v>1.7000000000000001E-2</v>
      </c>
      <c r="I752" s="97">
        <v>3.4296035088137167</v>
      </c>
      <c r="J752" s="97">
        <v>0.20019544503116155</v>
      </c>
      <c r="K752" s="97">
        <v>9.5126404843037804</v>
      </c>
      <c r="L752" s="97">
        <v>0.71232192798371574</v>
      </c>
      <c r="M752" s="162"/>
      <c r="N752" s="94">
        <v>5</v>
      </c>
      <c r="O752" s="94">
        <v>31</v>
      </c>
    </row>
    <row r="753" spans="1:24" x14ac:dyDescent="0.2">
      <c r="A753" s="56">
        <v>3775</v>
      </c>
      <c r="B753" s="56">
        <v>1363</v>
      </c>
      <c r="C753" s="4">
        <v>43631</v>
      </c>
      <c r="D753" s="160" t="s">
        <v>1297</v>
      </c>
      <c r="E753" s="80">
        <v>-67.424126716000004</v>
      </c>
      <c r="F753" s="80">
        <v>0.01</v>
      </c>
      <c r="G753" s="80">
        <v>6.6840772599999951</v>
      </c>
      <c r="H753" s="80">
        <v>0.02</v>
      </c>
      <c r="I753" s="80">
        <v>21.797546121328892</v>
      </c>
      <c r="J753" s="80">
        <v>0.15601251041955055</v>
      </c>
      <c r="K753" s="80">
        <v>105.42442876965264</v>
      </c>
      <c r="L753" s="80">
        <v>0.65088926314253548</v>
      </c>
      <c r="N753" s="56">
        <v>14</v>
      </c>
      <c r="O753" s="56">
        <v>28</v>
      </c>
    </row>
    <row r="754" spans="1:24" x14ac:dyDescent="0.2">
      <c r="A754" s="56">
        <v>3777</v>
      </c>
      <c r="B754" s="56">
        <v>1364</v>
      </c>
      <c r="C754" s="4">
        <v>43632</v>
      </c>
      <c r="D754" s="160" t="s">
        <v>1298</v>
      </c>
      <c r="E754" s="80">
        <v>-89.887001689000002</v>
      </c>
      <c r="F754" s="80">
        <v>8.0000000000000002E-3</v>
      </c>
      <c r="G754" s="80">
        <v>-197.08585128600001</v>
      </c>
      <c r="H754" s="80">
        <v>1.7999999999999999E-2</v>
      </c>
      <c r="I754" s="80">
        <v>6.2617764554453448</v>
      </c>
      <c r="J754" s="80">
        <v>0.14691795766644039</v>
      </c>
      <c r="K754" s="80">
        <v>16.309978655650205</v>
      </c>
      <c r="L754" s="80">
        <v>0.63379816392235189</v>
      </c>
      <c r="N754" s="56">
        <v>12</v>
      </c>
      <c r="O754" s="56">
        <v>31</v>
      </c>
    </row>
    <row r="755" spans="1:24" x14ac:dyDescent="0.2">
      <c r="A755" s="56">
        <v>3779</v>
      </c>
      <c r="B755" s="56">
        <v>1365</v>
      </c>
      <c r="C755" s="4">
        <v>43633</v>
      </c>
      <c r="D755" s="160" t="s">
        <v>1299</v>
      </c>
      <c r="E755" s="80">
        <v>-79.813052056000004</v>
      </c>
      <c r="F755" s="80">
        <v>8.0000000000000002E-3</v>
      </c>
      <c r="G755" s="80">
        <v>-189.61997642100002</v>
      </c>
      <c r="H755" s="80">
        <v>1.9E-2</v>
      </c>
      <c r="I755" s="80">
        <v>5.4737286468571344</v>
      </c>
      <c r="J755" s="80">
        <v>0.11907716629951701</v>
      </c>
      <c r="K755" s="80">
        <v>16.950528785213859</v>
      </c>
      <c r="L755" s="80">
        <v>0.8164473709234219</v>
      </c>
      <c r="N755" s="56">
        <v>15</v>
      </c>
      <c r="O755" s="56">
        <v>19</v>
      </c>
    </row>
    <row r="756" spans="1:24" x14ac:dyDescent="0.2">
      <c r="A756" s="56">
        <v>3782</v>
      </c>
      <c r="B756" s="56">
        <v>1366</v>
      </c>
      <c r="C756" s="4">
        <v>43635</v>
      </c>
      <c r="D756" s="160" t="s">
        <v>1300</v>
      </c>
      <c r="E756" s="80">
        <v>-16.590998062000001</v>
      </c>
      <c r="F756" s="80">
        <v>2.9000000000000001E-2</v>
      </c>
      <c r="G756" s="80">
        <v>-288.16199760699999</v>
      </c>
      <c r="H756" s="80">
        <v>0.14399999999999999</v>
      </c>
      <c r="I756" s="80">
        <v>0.9105086309444399</v>
      </c>
      <c r="J756" s="80">
        <v>0.55744437034422989</v>
      </c>
      <c r="K756" s="80">
        <v>-2.3891278589213139</v>
      </c>
      <c r="L756" s="80">
        <v>3.178533953420283</v>
      </c>
      <c r="N756" s="56">
        <v>7</v>
      </c>
      <c r="O756" s="56">
        <v>5</v>
      </c>
    </row>
    <row r="757" spans="1:24" x14ac:dyDescent="0.2">
      <c r="A757" s="56">
        <v>3784</v>
      </c>
      <c r="B757" s="56">
        <v>1367</v>
      </c>
      <c r="C757" s="4">
        <v>43637</v>
      </c>
      <c r="D757" s="160" t="s">
        <v>1301</v>
      </c>
      <c r="E757" s="80">
        <v>-19.054332594999998</v>
      </c>
      <c r="F757" s="80">
        <v>3.3000000000000002E-2</v>
      </c>
      <c r="G757" s="80">
        <v>-289.82453079999999</v>
      </c>
      <c r="H757" s="80">
        <v>3.5000000000000003E-2</v>
      </c>
      <c r="I757" s="80">
        <v>-0.56992025795021828</v>
      </c>
      <c r="J757" s="80">
        <v>0.19819854590388938</v>
      </c>
      <c r="K757" s="80">
        <v>-0.781900246357492</v>
      </c>
      <c r="L757" s="80">
        <v>1.1280601591180723</v>
      </c>
      <c r="N757" s="56">
        <v>15</v>
      </c>
      <c r="O757" s="56">
        <v>17</v>
      </c>
    </row>
    <row r="758" spans="1:24" x14ac:dyDescent="0.2">
      <c r="A758" s="56">
        <v>3786</v>
      </c>
      <c r="B758" s="56">
        <v>1368</v>
      </c>
      <c r="C758" s="4">
        <v>43638</v>
      </c>
      <c r="D758" s="160" t="s">
        <v>1302</v>
      </c>
      <c r="E758" s="80">
        <v>-38.626137198999999</v>
      </c>
      <c r="F758" s="80">
        <v>1.0999999999999999E-2</v>
      </c>
      <c r="G758" s="80">
        <v>-295.053936282</v>
      </c>
      <c r="H758" s="80">
        <v>3.1E-2</v>
      </c>
      <c r="I758" s="80">
        <v>-0.18991749288710391</v>
      </c>
      <c r="J758" s="80">
        <v>0.16094242638816825</v>
      </c>
      <c r="K758" s="80">
        <v>-14.976540979675935</v>
      </c>
      <c r="L758" s="80">
        <v>0.84128723269978722</v>
      </c>
      <c r="N758" s="56">
        <v>16</v>
      </c>
      <c r="O758" s="56">
        <v>27</v>
      </c>
    </row>
    <row r="759" spans="1:24" x14ac:dyDescent="0.2">
      <c r="A759" s="56">
        <v>3841</v>
      </c>
      <c r="B759" s="56">
        <v>1408</v>
      </c>
      <c r="C759" s="4">
        <v>43693</v>
      </c>
      <c r="D759" s="160" t="s">
        <v>1304</v>
      </c>
      <c r="E759" s="80">
        <v>-33.592534174000001</v>
      </c>
      <c r="F759" s="80">
        <v>5.0999999999999997E-2</v>
      </c>
      <c r="G759" s="80">
        <v>-306.52136953400003</v>
      </c>
      <c r="H759" s="80">
        <v>0.57099999999999995</v>
      </c>
      <c r="I759" s="80">
        <v>2.0215055746095612</v>
      </c>
      <c r="J759" s="80">
        <v>1.3925770399108479</v>
      </c>
      <c r="K759" s="80">
        <v>-19.610170108480762</v>
      </c>
      <c r="L759" s="80">
        <v>7.4271577770753483</v>
      </c>
      <c r="M759" s="160" t="s">
        <v>1303</v>
      </c>
      <c r="N759" s="56">
        <v>1</v>
      </c>
      <c r="O759" s="56">
        <v>1</v>
      </c>
    </row>
    <row r="760" spans="1:24" s="96" customFormat="1" x14ac:dyDescent="0.2">
      <c r="A760" s="94">
        <v>3842</v>
      </c>
      <c r="B760" s="94">
        <v>1409</v>
      </c>
      <c r="C760" s="95">
        <v>43630</v>
      </c>
      <c r="D760" s="162" t="s">
        <v>824</v>
      </c>
      <c r="E760" s="97">
        <v>-25.398117460000002</v>
      </c>
      <c r="F760" s="97">
        <v>2.1999999999999999E-2</v>
      </c>
      <c r="G760" s="97">
        <v>-153.70192059600001</v>
      </c>
      <c r="H760" s="97">
        <v>5.7000000000000002E-2</v>
      </c>
      <c r="I760" s="97">
        <v>2.9850415851235823</v>
      </c>
      <c r="J760" s="97">
        <v>0.33000352107122405</v>
      </c>
      <c r="K760" s="97">
        <v>10.307032521364556</v>
      </c>
      <c r="L760" s="97">
        <v>0.55332203241940336</v>
      </c>
      <c r="M760" s="162"/>
      <c r="N760" s="94">
        <v>5</v>
      </c>
      <c r="O760" s="94">
        <v>31</v>
      </c>
      <c r="P760" s="97"/>
      <c r="Q760" s="97"/>
      <c r="R760" s="97"/>
      <c r="S760" s="97"/>
      <c r="T760" s="97"/>
      <c r="U760" s="97"/>
      <c r="V760" s="162"/>
      <c r="W760" s="133"/>
      <c r="X760" s="133"/>
    </row>
    <row r="761" spans="1:24" x14ac:dyDescent="0.2">
      <c r="A761" s="56">
        <v>3845</v>
      </c>
      <c r="B761" s="56">
        <v>1410</v>
      </c>
      <c r="C761" s="4">
        <v>43704</v>
      </c>
      <c r="D761" s="160" t="s">
        <v>1305</v>
      </c>
      <c r="E761" s="80">
        <v>-45.945814860999995</v>
      </c>
      <c r="F761" s="80">
        <v>3.4000000000000002E-2</v>
      </c>
      <c r="G761" s="80">
        <v>2629.3391275679996</v>
      </c>
      <c r="H761" s="80">
        <v>0.183</v>
      </c>
      <c r="I761" s="80">
        <v>0.17869961631178377</v>
      </c>
      <c r="J761" s="80">
        <v>0.15228645437356236</v>
      </c>
      <c r="K761" s="80">
        <v>-49.16512131783324</v>
      </c>
      <c r="L761" s="80">
        <v>0.63313390470810582</v>
      </c>
      <c r="N761" s="56">
        <v>8</v>
      </c>
      <c r="O761" s="56">
        <v>12</v>
      </c>
    </row>
    <row r="762" spans="1:24" x14ac:dyDescent="0.2">
      <c r="A762" s="56">
        <v>3848</v>
      </c>
      <c r="B762" s="56">
        <v>1411</v>
      </c>
      <c r="C762" s="4">
        <v>43710</v>
      </c>
      <c r="D762" s="160" t="s">
        <v>1306</v>
      </c>
      <c r="E762" s="80">
        <v>-50.250147552999998</v>
      </c>
      <c r="F762" s="80">
        <v>5.5E-2</v>
      </c>
      <c r="G762" s="80">
        <v>1229.058079117</v>
      </c>
      <c r="H762" s="80">
        <v>0.125</v>
      </c>
      <c r="I762" s="80">
        <v>-0.22684714875487177</v>
      </c>
      <c r="J762" s="80">
        <v>0.1272399183089134</v>
      </c>
      <c r="K762" s="80">
        <v>-44.359507687112497</v>
      </c>
      <c r="L762" s="80">
        <v>0.48982708990509438</v>
      </c>
      <c r="N762" s="56">
        <v>20</v>
      </c>
      <c r="O762" s="56">
        <v>21</v>
      </c>
    </row>
    <row r="763" spans="1:24" x14ac:dyDescent="0.2">
      <c r="A763" s="56">
        <v>3851</v>
      </c>
      <c r="B763" s="56">
        <v>1412</v>
      </c>
      <c r="C763" s="4">
        <v>43715</v>
      </c>
      <c r="D763" s="160" t="s">
        <v>1307</v>
      </c>
      <c r="E763" s="80">
        <v>-46.310931711999999</v>
      </c>
      <c r="F763" s="80">
        <v>0.01</v>
      </c>
      <c r="G763" s="80">
        <v>-62.248481796</v>
      </c>
      <c r="H763" s="80">
        <v>3.9E-2</v>
      </c>
      <c r="I763" s="80">
        <v>2.2334930672043285</v>
      </c>
      <c r="J763" s="80">
        <v>0.21665837783213956</v>
      </c>
      <c r="K763" s="80">
        <v>-37.691572228561341</v>
      </c>
      <c r="L763" s="80">
        <v>0.86737520889060404</v>
      </c>
      <c r="N763" s="56">
        <v>20</v>
      </c>
      <c r="O763" s="56">
        <v>21</v>
      </c>
    </row>
    <row r="764" spans="1:24" x14ac:dyDescent="0.2">
      <c r="A764" s="56">
        <v>3852</v>
      </c>
      <c r="B764" s="56">
        <v>1413</v>
      </c>
      <c r="C764" s="4">
        <v>43719</v>
      </c>
      <c r="D764" s="160" t="s">
        <v>1308</v>
      </c>
      <c r="E764" s="80">
        <v>-50.209686054999999</v>
      </c>
      <c r="F764" s="80">
        <v>8.0000000000000002E-3</v>
      </c>
      <c r="G764" s="80">
        <v>-59.743861897999999</v>
      </c>
      <c r="H764" s="80">
        <v>4.1000000000000002E-2</v>
      </c>
      <c r="I764" s="80">
        <v>-8.109820340181372</v>
      </c>
      <c r="J764" s="80">
        <v>0.19527098331694773</v>
      </c>
      <c r="K764" s="80">
        <v>42.925051115042521</v>
      </c>
      <c r="L764" s="80">
        <v>0.69275604440697869</v>
      </c>
      <c r="M764" s="160" t="s">
        <v>1309</v>
      </c>
      <c r="N764" s="56">
        <v>13</v>
      </c>
      <c r="O764" s="56">
        <v>22</v>
      </c>
    </row>
    <row r="765" spans="1:24" x14ac:dyDescent="0.2">
      <c r="A765" s="56">
        <v>3854</v>
      </c>
      <c r="B765" s="56">
        <v>1414</v>
      </c>
      <c r="C765" s="4">
        <v>43720</v>
      </c>
      <c r="D765" s="160" t="s">
        <v>1310</v>
      </c>
      <c r="E765" s="80">
        <v>-50.337814131999998</v>
      </c>
      <c r="F765" s="80">
        <v>5.3999999999999999E-2</v>
      </c>
      <c r="G765" s="80">
        <v>421.57219934200003</v>
      </c>
      <c r="H765" s="80">
        <v>0.214</v>
      </c>
      <c r="I765" s="80">
        <v>-13.537173548757607</v>
      </c>
      <c r="J765" s="80">
        <v>0.36149265014754933</v>
      </c>
      <c r="K765" s="80">
        <v>296.65884350372272</v>
      </c>
      <c r="L765" s="80">
        <v>0.66587930960109831</v>
      </c>
      <c r="N765" s="56">
        <v>15</v>
      </c>
      <c r="O765" s="56">
        <v>22</v>
      </c>
    </row>
    <row r="766" spans="1:24" x14ac:dyDescent="0.2">
      <c r="A766" s="56">
        <v>3856</v>
      </c>
      <c r="B766" s="56">
        <v>1415</v>
      </c>
      <c r="C766" s="4">
        <v>43722</v>
      </c>
      <c r="D766" s="160" t="s">
        <v>1311</v>
      </c>
      <c r="E766" s="80">
        <v>-48.833031753999997</v>
      </c>
      <c r="F766" s="80">
        <v>9.4E-2</v>
      </c>
      <c r="G766" s="80">
        <v>-664.99438677599994</v>
      </c>
      <c r="H766" s="80">
        <v>4.7E-2</v>
      </c>
      <c r="I766" s="80">
        <v>37.603802455996593</v>
      </c>
      <c r="J766" s="80">
        <v>0.36309757895409456</v>
      </c>
      <c r="K766" s="80">
        <v>38.851569751682916</v>
      </c>
      <c r="L766" s="80">
        <v>1.3865499574658864</v>
      </c>
      <c r="N766" s="56">
        <v>19</v>
      </c>
      <c r="O766" s="56">
        <v>31</v>
      </c>
    </row>
    <row r="767" spans="1:24" x14ac:dyDescent="0.2">
      <c r="A767" s="56">
        <v>3858</v>
      </c>
      <c r="B767" s="56">
        <v>1416</v>
      </c>
      <c r="C767" s="4">
        <v>43723</v>
      </c>
      <c r="D767" s="160" t="s">
        <v>1312</v>
      </c>
      <c r="E767" s="80">
        <v>-49.066167052000004</v>
      </c>
      <c r="F767" s="80">
        <v>9.0999999999999998E-2</v>
      </c>
      <c r="G767" s="80">
        <v>-259.21303253500002</v>
      </c>
      <c r="H767" s="80">
        <v>0.13900000000000001</v>
      </c>
      <c r="I767" s="80">
        <v>-5.089970306988767</v>
      </c>
      <c r="J767" s="80">
        <v>0.34976779455666507</v>
      </c>
      <c r="K767" s="80">
        <v>-44.278852813842803</v>
      </c>
      <c r="L767" s="80">
        <v>0.91049949240962957</v>
      </c>
      <c r="N767" s="56">
        <v>20</v>
      </c>
      <c r="O767" s="56">
        <v>31</v>
      </c>
    </row>
    <row r="768" spans="1:24" x14ac:dyDescent="0.2">
      <c r="A768" s="94">
        <v>4037</v>
      </c>
      <c r="B768" s="94">
        <v>1417</v>
      </c>
      <c r="C768" s="95">
        <v>43869</v>
      </c>
      <c r="D768" s="162" t="s">
        <v>824</v>
      </c>
      <c r="E768" s="97">
        <v>-25.474223610999999</v>
      </c>
      <c r="F768" s="97">
        <v>1.6E-2</v>
      </c>
      <c r="G768" s="97">
        <v>-153.91079573399998</v>
      </c>
      <c r="H768" s="97">
        <v>3.1E-2</v>
      </c>
      <c r="I768" s="97">
        <v>3.2978062223536497</v>
      </c>
      <c r="J768" s="97">
        <v>0.2036594507877458</v>
      </c>
      <c r="K768" s="97">
        <v>9.2762792823322116</v>
      </c>
      <c r="L768" s="97">
        <v>0.8507363416352709</v>
      </c>
      <c r="M768" s="162"/>
      <c r="N768" s="94">
        <v>12</v>
      </c>
      <c r="O768" s="94">
        <v>37</v>
      </c>
    </row>
    <row r="769" spans="1:24" x14ac:dyDescent="0.2">
      <c r="A769" s="56">
        <v>4040</v>
      </c>
      <c r="B769" s="56">
        <v>1418</v>
      </c>
      <c r="C769" s="4">
        <v>43870</v>
      </c>
      <c r="D769" s="160" t="s">
        <v>1313</v>
      </c>
      <c r="E769" s="80">
        <v>-69.399033166000009</v>
      </c>
      <c r="F769" s="80">
        <v>5.0999999999999997E-2</v>
      </c>
      <c r="G769" s="80">
        <v>-185.219485338</v>
      </c>
      <c r="H769" s="80">
        <v>5.8999999999999997E-2</v>
      </c>
      <c r="I769" s="80">
        <v>5.7650691337720605</v>
      </c>
      <c r="J769" s="80">
        <v>0.24534711651460642</v>
      </c>
      <c r="K769" s="80">
        <v>18.692825064814844</v>
      </c>
      <c r="L769" s="80">
        <v>0.91253972164943831</v>
      </c>
      <c r="N769" s="56">
        <v>19</v>
      </c>
      <c r="O769" s="56">
        <v>24</v>
      </c>
    </row>
    <row r="770" spans="1:24" x14ac:dyDescent="0.2">
      <c r="A770" s="56">
        <v>4043</v>
      </c>
      <c r="B770" s="56">
        <v>1419</v>
      </c>
      <c r="C770" s="4">
        <v>43871</v>
      </c>
      <c r="D770" s="160" t="s">
        <v>1314</v>
      </c>
      <c r="E770" s="80">
        <v>-59.839522579000004</v>
      </c>
      <c r="F770" s="80">
        <v>5.6000000000000001E-2</v>
      </c>
      <c r="G770" s="80">
        <v>-356.17719963799993</v>
      </c>
      <c r="H770" s="80">
        <v>3.5999999999999997E-2</v>
      </c>
      <c r="I770" s="80">
        <v>-0.62544145712795096</v>
      </c>
      <c r="J770" s="80">
        <v>0.21382006393231559</v>
      </c>
      <c r="K770" s="80">
        <v>-37.620075340052516</v>
      </c>
      <c r="L770" s="80">
        <v>0.94636936157406981</v>
      </c>
      <c r="N770" s="56">
        <v>15</v>
      </c>
      <c r="O770" s="56">
        <v>29</v>
      </c>
    </row>
    <row r="771" spans="1:24" x14ac:dyDescent="0.2">
      <c r="A771" s="56">
        <v>4047</v>
      </c>
      <c r="B771" s="56">
        <v>1420</v>
      </c>
      <c r="C771" s="4">
        <v>43872</v>
      </c>
      <c r="D771" s="160" t="s">
        <v>1315</v>
      </c>
      <c r="E771" s="80">
        <v>-36.582831550000002</v>
      </c>
      <c r="F771" s="80">
        <v>3.4000000000000002E-2</v>
      </c>
      <c r="G771" s="80">
        <v>30.907007114999999</v>
      </c>
      <c r="H771" s="80">
        <v>8.2000000000000003E-2</v>
      </c>
      <c r="I771" s="80">
        <v>21.406723148162278</v>
      </c>
      <c r="J771" s="80">
        <v>0.2585926877634549</v>
      </c>
      <c r="K771" s="80">
        <v>102.16555711253861</v>
      </c>
      <c r="L771" s="80">
        <v>0.82532595375448126</v>
      </c>
      <c r="N771" s="56">
        <v>20</v>
      </c>
      <c r="O771" s="56">
        <v>26</v>
      </c>
    </row>
    <row r="772" spans="1:24" x14ac:dyDescent="0.2">
      <c r="A772" s="94">
        <v>4050</v>
      </c>
      <c r="B772" s="94">
        <v>1422</v>
      </c>
      <c r="C772" s="95">
        <v>43874</v>
      </c>
      <c r="D772" s="162" t="s">
        <v>824</v>
      </c>
      <c r="E772" s="97">
        <v>-25.503124680999999</v>
      </c>
      <c r="F772" s="97">
        <v>3.1E-2</v>
      </c>
      <c r="G772" s="97">
        <v>-153.7734274</v>
      </c>
      <c r="H772" s="97">
        <v>3.3000000000000002E-2</v>
      </c>
      <c r="I772" s="97">
        <v>2.7810857532921673</v>
      </c>
      <c r="J772" s="97">
        <v>0.28218803761085443</v>
      </c>
      <c r="K772" s="97">
        <v>10.012121247425121</v>
      </c>
      <c r="L772" s="97">
        <v>0.99907127774926718</v>
      </c>
      <c r="M772" s="162"/>
      <c r="N772" s="94">
        <v>7</v>
      </c>
      <c r="O772" s="94">
        <v>18</v>
      </c>
    </row>
    <row r="773" spans="1:24" x14ac:dyDescent="0.2">
      <c r="A773" s="56">
        <v>4056</v>
      </c>
      <c r="B773" s="56">
        <v>1423</v>
      </c>
      <c r="C773" s="4">
        <v>43877</v>
      </c>
      <c r="D773" s="160" t="s">
        <v>1316</v>
      </c>
      <c r="E773" s="80">
        <v>-67.902921109000005</v>
      </c>
      <c r="F773" s="80">
        <v>7.0999999999999994E-2</v>
      </c>
      <c r="G773" s="80">
        <v>-292.82217129399999</v>
      </c>
      <c r="H773" s="80">
        <v>2.5999999999999999E-2</v>
      </c>
      <c r="I773" s="80">
        <v>-2.342519825163536</v>
      </c>
      <c r="J773" s="80">
        <v>0.27483322628625001</v>
      </c>
      <c r="K773" s="80">
        <v>-48.953753336834602</v>
      </c>
      <c r="L773" s="80">
        <v>0.92925616924737864</v>
      </c>
      <c r="N773" s="56">
        <v>15</v>
      </c>
      <c r="O773" s="56">
        <v>26</v>
      </c>
    </row>
    <row r="774" spans="1:24" x14ac:dyDescent="0.2">
      <c r="A774" s="56">
        <v>4061</v>
      </c>
      <c r="B774" s="56">
        <v>1424</v>
      </c>
      <c r="C774" s="4">
        <v>43879</v>
      </c>
      <c r="D774" s="160" t="s">
        <v>1317</v>
      </c>
      <c r="E774" s="80">
        <v>-58.433003839000001</v>
      </c>
      <c r="F774" s="80">
        <v>7.0999999999999994E-2</v>
      </c>
      <c r="G774" s="80">
        <v>-191.41141003700002</v>
      </c>
      <c r="H774" s="80">
        <v>4.5999999999999999E-2</v>
      </c>
      <c r="I774" s="80">
        <v>2.6159332293107518</v>
      </c>
      <c r="J774" s="80">
        <v>0.34656119801052709</v>
      </c>
      <c r="K774" s="80">
        <v>1.0621179165073436</v>
      </c>
      <c r="L774" s="80">
        <v>0.69139977442955103</v>
      </c>
      <c r="N774" s="56">
        <v>20</v>
      </c>
      <c r="O774" s="56">
        <v>40</v>
      </c>
    </row>
    <row r="775" spans="1:24" x14ac:dyDescent="0.2">
      <c r="A775" s="56">
        <v>4064</v>
      </c>
      <c r="B775" s="56">
        <v>1425</v>
      </c>
      <c r="C775" s="4">
        <v>43880</v>
      </c>
      <c r="D775" s="160" t="s">
        <v>1318</v>
      </c>
      <c r="E775" s="80">
        <v>-43.831219906000001</v>
      </c>
      <c r="F775" s="80">
        <v>3.5000000000000003E-2</v>
      </c>
      <c r="G775" s="80">
        <v>-291.38921257699997</v>
      </c>
      <c r="H775" s="80">
        <v>2.8000000000000001E-2</v>
      </c>
      <c r="I775" s="80">
        <v>0.39633827441099001</v>
      </c>
      <c r="J775" s="80">
        <v>0.27110812520574767</v>
      </c>
      <c r="K775" s="80">
        <v>-33.754277104135369</v>
      </c>
      <c r="L775" s="80">
        <v>1.0552496559819924</v>
      </c>
      <c r="N775" s="56">
        <v>20</v>
      </c>
      <c r="O775" s="56">
        <v>27</v>
      </c>
    </row>
    <row r="776" spans="1:24" x14ac:dyDescent="0.2">
      <c r="A776" s="56">
        <v>4068</v>
      </c>
      <c r="B776" s="56">
        <v>1426</v>
      </c>
      <c r="C776" s="4">
        <v>43881</v>
      </c>
      <c r="D776" s="160" t="s">
        <v>1319</v>
      </c>
      <c r="E776" s="80">
        <v>-83.755158003999995</v>
      </c>
      <c r="F776" s="80">
        <v>4.0000000000000001E-3</v>
      </c>
      <c r="G776" s="80">
        <v>-168.013631065</v>
      </c>
      <c r="H776" s="80">
        <v>2.3E-2</v>
      </c>
      <c r="I776" s="80">
        <v>9.545584494212056</v>
      </c>
      <c r="J776" s="80">
        <v>0.14631266853729338</v>
      </c>
      <c r="K776" s="80">
        <v>29.270134604486799</v>
      </c>
      <c r="L776" s="80">
        <v>0.86646660150155752</v>
      </c>
      <c r="N776" s="56">
        <v>20</v>
      </c>
      <c r="O776" s="56">
        <v>37</v>
      </c>
    </row>
    <row r="777" spans="1:24" x14ac:dyDescent="0.2">
      <c r="A777" s="56">
        <v>4072</v>
      </c>
      <c r="B777" s="56">
        <v>1427</v>
      </c>
      <c r="C777" s="4">
        <v>43884</v>
      </c>
      <c r="D777" s="160" t="s">
        <v>1320</v>
      </c>
      <c r="E777" s="80">
        <v>-59.829000000000001</v>
      </c>
      <c r="F777" s="80">
        <v>4.0000000000000001E-3</v>
      </c>
      <c r="G777" s="80">
        <v>-194.113</v>
      </c>
      <c r="H777" s="80">
        <v>3.2000000000000001E-2</v>
      </c>
      <c r="I777" s="80">
        <v>2.823</v>
      </c>
      <c r="J777" s="80">
        <v>0.125</v>
      </c>
      <c r="K777" s="80">
        <v>1.5149999999999999</v>
      </c>
      <c r="L777" s="83">
        <v>0.79</v>
      </c>
      <c r="N777" s="56">
        <v>20</v>
      </c>
      <c r="O777" s="56">
        <v>34</v>
      </c>
      <c r="U777" s="160"/>
      <c r="V777" s="100"/>
      <c r="X777" s="3"/>
    </row>
    <row r="778" spans="1:24" x14ac:dyDescent="0.2">
      <c r="A778" s="56">
        <v>4074</v>
      </c>
      <c r="B778" s="56">
        <v>1428</v>
      </c>
      <c r="C778" s="4">
        <v>43885</v>
      </c>
      <c r="D778" s="160" t="s">
        <v>1321</v>
      </c>
      <c r="E778" s="80">
        <v>-62.396000000000001</v>
      </c>
      <c r="F778" s="80">
        <v>1.7000000000000001E-2</v>
      </c>
      <c r="G778" s="80">
        <v>-190.83099999999999</v>
      </c>
      <c r="H778" s="80">
        <v>3.2000000000000001E-2</v>
      </c>
      <c r="I778" s="80">
        <v>2.6850000000000001</v>
      </c>
      <c r="J778" s="80">
        <v>0.436</v>
      </c>
      <c r="K778" s="80">
        <v>2.1840000000000002</v>
      </c>
      <c r="L778" s="83">
        <v>0.85699999999999998</v>
      </c>
      <c r="N778" s="56">
        <v>20</v>
      </c>
      <c r="O778" s="56">
        <v>25</v>
      </c>
      <c r="P778" s="3"/>
      <c r="U778" s="160"/>
      <c r="V778" s="100"/>
      <c r="X778" s="3"/>
    </row>
    <row r="779" spans="1:24" x14ac:dyDescent="0.2">
      <c r="A779" s="56">
        <v>4077</v>
      </c>
      <c r="B779" s="56">
        <v>1429</v>
      </c>
      <c r="C779" s="4">
        <v>43886</v>
      </c>
      <c r="D779" s="160" t="s">
        <v>1322</v>
      </c>
      <c r="E779" s="80">
        <v>-66.608153173000005</v>
      </c>
      <c r="F779" s="80">
        <v>0.01</v>
      </c>
      <c r="G779" s="80">
        <v>-188.777889716</v>
      </c>
      <c r="H779" s="80">
        <v>2.3E-2</v>
      </c>
      <c r="I779" s="80">
        <v>5.7306415194728899</v>
      </c>
      <c r="J779" s="80">
        <v>0.18894681166283914</v>
      </c>
      <c r="K779" s="80">
        <v>14.605126693382875</v>
      </c>
      <c r="L779" s="80">
        <v>0.69156788595050867</v>
      </c>
      <c r="N779" s="56">
        <v>19</v>
      </c>
      <c r="O779" s="56">
        <v>35</v>
      </c>
    </row>
    <row r="780" spans="1:24" x14ac:dyDescent="0.2">
      <c r="A780" s="56">
        <v>4079</v>
      </c>
      <c r="B780" s="56">
        <v>1430</v>
      </c>
      <c r="C780" s="4">
        <v>43888</v>
      </c>
      <c r="D780" s="160" t="s">
        <v>1323</v>
      </c>
      <c r="E780" s="80">
        <v>-40.378999999999998</v>
      </c>
      <c r="F780" s="80">
        <v>5.0000000000000001E-3</v>
      </c>
      <c r="G780" s="80">
        <v>-362.178</v>
      </c>
      <c r="H780" s="80">
        <v>3.2000000000000001E-2</v>
      </c>
      <c r="I780" s="80">
        <v>2.4529999999999998</v>
      </c>
      <c r="J780" s="80">
        <v>0.24199999999999999</v>
      </c>
      <c r="K780" s="80">
        <v>-10.398</v>
      </c>
      <c r="L780" s="83">
        <v>1.077</v>
      </c>
      <c r="N780" s="56">
        <v>20</v>
      </c>
      <c r="O780" s="56">
        <v>29</v>
      </c>
    </row>
    <row r="781" spans="1:24" x14ac:dyDescent="0.2">
      <c r="A781" s="56">
        <v>4081</v>
      </c>
      <c r="B781" s="56">
        <v>1431</v>
      </c>
      <c r="C781" s="4">
        <v>43889</v>
      </c>
      <c r="D781" s="160" t="s">
        <v>1324</v>
      </c>
      <c r="E781" s="80">
        <v>-51.926000000000002</v>
      </c>
      <c r="F781" s="80">
        <v>8.9999999999999993E-3</v>
      </c>
      <c r="G781" s="80">
        <v>-348.601</v>
      </c>
      <c r="H781" s="80">
        <v>3.2000000000000001E-2</v>
      </c>
      <c r="I781" s="80">
        <v>2.7450000000000001</v>
      </c>
      <c r="J781" s="80">
        <v>0.29899999999999999</v>
      </c>
      <c r="K781" s="80">
        <v>-16.279</v>
      </c>
      <c r="L781" s="83">
        <v>0.81899999999999995</v>
      </c>
      <c r="N781" s="56">
        <v>20</v>
      </c>
      <c r="O781" s="56">
        <v>40</v>
      </c>
    </row>
    <row r="782" spans="1:24" x14ac:dyDescent="0.2">
      <c r="A782" s="56">
        <v>4083</v>
      </c>
      <c r="B782" s="56">
        <v>1432</v>
      </c>
      <c r="C782" s="4">
        <v>43890</v>
      </c>
      <c r="D782" s="160" t="s">
        <v>1325</v>
      </c>
      <c r="E782" s="80">
        <v>-81.89007561999999</v>
      </c>
      <c r="F782" s="80">
        <v>5.0000000000000001E-3</v>
      </c>
      <c r="G782" s="80">
        <v>-173.65137803300001</v>
      </c>
      <c r="H782" s="80">
        <v>2.1000000000000001E-2</v>
      </c>
      <c r="I782" s="80">
        <v>8.5655884326454323</v>
      </c>
      <c r="J782" s="80">
        <v>0.15136770921554191</v>
      </c>
      <c r="K782" s="80">
        <v>28.909244742220565</v>
      </c>
      <c r="L782" s="80">
        <v>0.60177404090266462</v>
      </c>
      <c r="N782" s="56">
        <v>20</v>
      </c>
      <c r="O782" s="56">
        <v>40</v>
      </c>
    </row>
    <row r="783" spans="1:24" x14ac:dyDescent="0.2">
      <c r="A783" s="56">
        <v>4085</v>
      </c>
      <c r="B783" s="56">
        <v>1433</v>
      </c>
      <c r="C783" s="4">
        <v>43892</v>
      </c>
      <c r="D783" s="160" t="s">
        <v>1326</v>
      </c>
      <c r="E783" s="80">
        <v>-87.416923573000005</v>
      </c>
      <c r="F783" s="80">
        <v>5.0000000000000001E-3</v>
      </c>
      <c r="G783" s="80">
        <v>-157.70065634600002</v>
      </c>
      <c r="H783" s="80">
        <v>2.1000000000000001E-2</v>
      </c>
      <c r="I783" s="80">
        <v>11.709280616396978</v>
      </c>
      <c r="J783" s="80">
        <v>0.13313236910641651</v>
      </c>
      <c r="K783" s="80">
        <v>34.611359490147599</v>
      </c>
      <c r="L783" s="80">
        <v>0.65788143877131877</v>
      </c>
      <c r="N783" s="56">
        <v>20</v>
      </c>
      <c r="O783" s="56">
        <v>40</v>
      </c>
    </row>
    <row r="784" spans="1:24" x14ac:dyDescent="0.2">
      <c r="A784" s="56">
        <v>4087</v>
      </c>
      <c r="B784" s="56">
        <v>1434</v>
      </c>
      <c r="C784" s="4">
        <v>43893</v>
      </c>
      <c r="D784" s="160" t="s">
        <v>1327</v>
      </c>
      <c r="E784" s="80">
        <v>-75.836264823999997</v>
      </c>
      <c r="F784" s="80">
        <v>5.0000000000000001E-3</v>
      </c>
      <c r="G784" s="80">
        <v>-170.32442988900002</v>
      </c>
      <c r="H784" s="80">
        <v>2.5000000000000001E-2</v>
      </c>
      <c r="I784" s="80">
        <v>8.2647290989714683</v>
      </c>
      <c r="J784" s="80">
        <v>0.19500000000000001</v>
      </c>
      <c r="K784" s="80">
        <v>23.614028104637306</v>
      </c>
      <c r="L784" s="80">
        <v>0.79489710281702786</v>
      </c>
      <c r="N784" s="56">
        <v>20</v>
      </c>
      <c r="O784" s="56">
        <v>36</v>
      </c>
    </row>
    <row r="785" spans="1:15" x14ac:dyDescent="0.2">
      <c r="A785" s="56">
        <v>4089</v>
      </c>
      <c r="B785" s="56">
        <v>1435</v>
      </c>
      <c r="C785" s="4">
        <v>43895</v>
      </c>
      <c r="D785" s="160" t="s">
        <v>1328</v>
      </c>
      <c r="E785" s="80">
        <v>-39.646000000000001</v>
      </c>
      <c r="F785" s="80">
        <v>5.0000000000000001E-3</v>
      </c>
      <c r="G785" s="80">
        <v>-403.851</v>
      </c>
      <c r="H785" s="80">
        <v>3.9E-2</v>
      </c>
      <c r="I785" s="80">
        <v>0.98699999999999999</v>
      </c>
      <c r="J785" s="80">
        <v>0.188</v>
      </c>
      <c r="K785" s="80">
        <v>1.7529999999999999</v>
      </c>
      <c r="L785" s="80" t="s">
        <v>1329</v>
      </c>
      <c r="N785" s="56">
        <v>20</v>
      </c>
      <c r="O785" s="56">
        <v>40</v>
      </c>
    </row>
    <row r="786" spans="1:15" x14ac:dyDescent="0.2">
      <c r="A786" s="56">
        <v>4091</v>
      </c>
      <c r="B786" s="56">
        <v>1436</v>
      </c>
      <c r="C786" s="4">
        <v>43896</v>
      </c>
      <c r="D786" s="160" t="s">
        <v>1330</v>
      </c>
      <c r="E786" s="80">
        <v>-61.26</v>
      </c>
      <c r="F786" s="80">
        <v>8.0000000000000002E-3</v>
      </c>
      <c r="G786" s="80">
        <v>-368.625</v>
      </c>
      <c r="H786" s="80">
        <v>3.4000000000000002E-2</v>
      </c>
      <c r="I786" s="80">
        <v>3.5619999999999998</v>
      </c>
      <c r="J786" s="80">
        <v>0.252</v>
      </c>
      <c r="K786" s="80">
        <v>-10.250999999999999</v>
      </c>
      <c r="L786" s="80" t="s">
        <v>1331</v>
      </c>
      <c r="N786" s="56">
        <v>20</v>
      </c>
      <c r="O786" s="56">
        <v>38</v>
      </c>
    </row>
    <row r="787" spans="1:15" x14ac:dyDescent="0.2">
      <c r="A787" s="56">
        <v>4095</v>
      </c>
      <c r="B787" s="56">
        <v>1437</v>
      </c>
      <c r="C787" s="4">
        <v>43898</v>
      </c>
      <c r="D787" s="160" t="s">
        <v>1332</v>
      </c>
      <c r="E787" s="80">
        <v>-74.437453035999994</v>
      </c>
      <c r="F787" s="80">
        <v>4.0000000000000001E-3</v>
      </c>
      <c r="G787" s="80">
        <v>-154.457446433</v>
      </c>
      <c r="H787" s="80">
        <v>1.9E-2</v>
      </c>
      <c r="I787" s="80">
        <v>9.1228643723977321</v>
      </c>
      <c r="J787" s="80">
        <v>0.13267110963066156</v>
      </c>
      <c r="K787" s="80">
        <v>31.899507191249121</v>
      </c>
      <c r="L787" s="80">
        <v>0.60874342287544703</v>
      </c>
      <c r="N787" s="56">
        <v>20</v>
      </c>
      <c r="O787" s="56">
        <v>40</v>
      </c>
    </row>
    <row r="788" spans="1:15" x14ac:dyDescent="0.2">
      <c r="A788" s="56">
        <v>4097</v>
      </c>
      <c r="B788" s="56">
        <v>1438</v>
      </c>
      <c r="C788" s="4">
        <v>43899</v>
      </c>
      <c r="D788" s="160" t="s">
        <v>1333</v>
      </c>
      <c r="E788" s="80">
        <v>-80.459472654999999</v>
      </c>
      <c r="F788" s="80">
        <v>5.0000000000000001E-3</v>
      </c>
      <c r="G788" s="80">
        <v>-125.96480767599999</v>
      </c>
      <c r="H788" s="80">
        <v>2.1999999999999999E-2</v>
      </c>
      <c r="I788" s="80">
        <v>12.322230261791578</v>
      </c>
      <c r="J788" s="80">
        <v>0.15867338233882794</v>
      </c>
      <c r="K788" s="80">
        <v>48.045913702017053</v>
      </c>
      <c r="L788" s="80">
        <v>0.61897171891245639</v>
      </c>
      <c r="N788" s="56">
        <v>20</v>
      </c>
      <c r="O788" s="56">
        <v>40</v>
      </c>
    </row>
    <row r="789" spans="1:15" x14ac:dyDescent="0.2">
      <c r="A789" s="56">
        <v>4099</v>
      </c>
      <c r="B789" s="56">
        <v>1439</v>
      </c>
      <c r="C789" s="4">
        <v>43901</v>
      </c>
      <c r="D789" s="160" t="s">
        <v>1334</v>
      </c>
      <c r="E789" s="80">
        <v>-86.124082375</v>
      </c>
      <c r="F789" s="80">
        <v>6.0000000000000001E-3</v>
      </c>
      <c r="G789" s="80">
        <v>-130.447155232</v>
      </c>
      <c r="H789" s="80">
        <v>2.3E-2</v>
      </c>
      <c r="I789" s="80">
        <v>13.620848141498332</v>
      </c>
      <c r="J789" s="80">
        <v>0.18208850091144313</v>
      </c>
      <c r="K789" s="80">
        <v>43.798777700134075</v>
      </c>
      <c r="L789" s="80">
        <v>0.64704896904647191</v>
      </c>
      <c r="N789" s="56">
        <v>20</v>
      </c>
      <c r="O789" s="56">
        <v>40</v>
      </c>
    </row>
    <row r="790" spans="1:15" x14ac:dyDescent="0.2">
      <c r="A790" s="56">
        <v>4101</v>
      </c>
      <c r="B790" s="56">
        <v>1440</v>
      </c>
      <c r="C790" s="4">
        <v>43902</v>
      </c>
      <c r="D790" s="160" t="s">
        <v>1335</v>
      </c>
      <c r="E790" s="80">
        <v>-39.217645765</v>
      </c>
      <c r="F790" s="80">
        <v>4.0000000000000001E-3</v>
      </c>
      <c r="G790" s="80">
        <v>-392.46125739399997</v>
      </c>
      <c r="H790" s="80">
        <v>2.5999999999999999E-2</v>
      </c>
      <c r="I790" s="80">
        <v>2.6695772338833912</v>
      </c>
      <c r="J790" s="80">
        <v>0.13068501300146398</v>
      </c>
      <c r="K790" s="80">
        <v>-6.2736516883760141</v>
      </c>
      <c r="L790" s="80">
        <v>0.84372402291782045</v>
      </c>
      <c r="N790" s="56">
        <v>20</v>
      </c>
      <c r="O790" s="56">
        <v>33</v>
      </c>
    </row>
    <row r="791" spans="1:15" x14ac:dyDescent="0.2">
      <c r="A791" s="56">
        <v>4103</v>
      </c>
      <c r="B791" s="56">
        <v>1441</v>
      </c>
      <c r="C791" s="4">
        <v>43904</v>
      </c>
      <c r="D791" s="160" t="s">
        <v>1336</v>
      </c>
      <c r="E791" s="80">
        <v>-74.786192614000001</v>
      </c>
      <c r="F791" s="80">
        <v>4.0000000000000001E-3</v>
      </c>
      <c r="G791" s="80">
        <v>-155.70881550299998</v>
      </c>
      <c r="H791" s="80">
        <v>3.1E-2</v>
      </c>
      <c r="I791" s="80">
        <v>9.279821032106339</v>
      </c>
      <c r="J791" s="80">
        <v>0.13798514204592496</v>
      </c>
      <c r="K791" s="80">
        <v>30.317391624044674</v>
      </c>
      <c r="L791" s="80">
        <v>0.81792950993134894</v>
      </c>
      <c r="N791" s="56">
        <v>20</v>
      </c>
      <c r="O791" s="56">
        <v>25</v>
      </c>
    </row>
    <row r="792" spans="1:15" x14ac:dyDescent="0.2">
      <c r="A792" s="56">
        <v>4106</v>
      </c>
      <c r="B792" s="56">
        <v>1442</v>
      </c>
      <c r="C792" s="4">
        <v>43906</v>
      </c>
      <c r="D792" s="160" t="s">
        <v>1337</v>
      </c>
      <c r="E792" s="80">
        <v>-77.681116458999995</v>
      </c>
      <c r="F792" s="80">
        <v>7.0000000000000001E-3</v>
      </c>
      <c r="G792" s="80">
        <v>-27.347516169999999</v>
      </c>
      <c r="H792" s="80">
        <v>2.3E-2</v>
      </c>
      <c r="I792" s="80">
        <v>20.437148595712664</v>
      </c>
      <c r="J792" s="80">
        <v>0.12357901941008134</v>
      </c>
      <c r="K792" s="80">
        <v>103.29438461237284</v>
      </c>
      <c r="L792" s="80">
        <v>0.556850930187749</v>
      </c>
      <c r="N792" s="56">
        <v>20</v>
      </c>
      <c r="O792" s="56">
        <v>40</v>
      </c>
    </row>
    <row r="793" spans="1:15" x14ac:dyDescent="0.2">
      <c r="A793" s="56">
        <v>4108</v>
      </c>
      <c r="B793" s="56">
        <v>1443</v>
      </c>
      <c r="C793" s="4">
        <v>43907</v>
      </c>
      <c r="D793" s="160" t="s">
        <v>1338</v>
      </c>
      <c r="E793" s="80">
        <v>-80.895878812000007</v>
      </c>
      <c r="F793" s="80">
        <v>1.4E-2</v>
      </c>
      <c r="G793" s="80">
        <v>-118.21384647399999</v>
      </c>
      <c r="H793" s="80">
        <v>3.7999999999999999E-2</v>
      </c>
      <c r="I793" s="80">
        <v>12.329688801293592</v>
      </c>
      <c r="J793" s="80">
        <v>0.15180386186827391</v>
      </c>
      <c r="K793" s="80">
        <v>42.585021403231281</v>
      </c>
      <c r="L793" s="80">
        <v>0.62168216267794829</v>
      </c>
      <c r="N793" s="56">
        <v>20</v>
      </c>
      <c r="O793" s="56">
        <v>40</v>
      </c>
    </row>
    <row r="794" spans="1:15" x14ac:dyDescent="0.2">
      <c r="A794" s="56">
        <v>4112</v>
      </c>
      <c r="B794" s="56">
        <v>1444</v>
      </c>
      <c r="C794" s="4">
        <v>43908</v>
      </c>
      <c r="D794" s="160" t="s">
        <v>1339</v>
      </c>
      <c r="E794" s="80">
        <v>-39.784106737000002</v>
      </c>
      <c r="F794" s="80">
        <v>7.0000000000000001E-3</v>
      </c>
      <c r="G794" s="80">
        <v>-404.01336975599997</v>
      </c>
      <c r="H794" s="80">
        <v>2.9000000000000001E-2</v>
      </c>
      <c r="I794" s="80">
        <v>1.0305666626027055</v>
      </c>
      <c r="J794" s="80">
        <v>0.16655495326490419</v>
      </c>
      <c r="K794" s="80">
        <v>3.5326274926259504</v>
      </c>
      <c r="L794" s="80">
        <v>0.77782380714611199</v>
      </c>
      <c r="N794" s="56">
        <v>20</v>
      </c>
      <c r="O794" s="56">
        <v>35</v>
      </c>
    </row>
    <row r="795" spans="1:15" x14ac:dyDescent="0.2">
      <c r="A795" s="56">
        <v>4114</v>
      </c>
      <c r="B795" s="56">
        <v>1445</v>
      </c>
      <c r="C795" s="4">
        <v>43911</v>
      </c>
      <c r="D795" s="160" t="s">
        <v>1340</v>
      </c>
      <c r="E795" s="80">
        <v>-71.841173581000007</v>
      </c>
      <c r="F795" s="80">
        <v>4.0000000000000001E-3</v>
      </c>
      <c r="G795" s="80">
        <v>-362.32019862899995</v>
      </c>
      <c r="H795" s="80">
        <v>2.5000000000000001E-2</v>
      </c>
      <c r="I795" s="80">
        <v>3.251951452069024</v>
      </c>
      <c r="J795" s="80">
        <v>0.13539493961615773</v>
      </c>
      <c r="K795" s="80">
        <v>-10.997208962716275</v>
      </c>
      <c r="L795" s="80">
        <v>0.95593280803348346</v>
      </c>
      <c r="N795" s="56">
        <v>20</v>
      </c>
      <c r="O795" s="56">
        <v>39</v>
      </c>
    </row>
    <row r="796" spans="1:15" x14ac:dyDescent="0.2">
      <c r="A796" s="56">
        <v>4112</v>
      </c>
      <c r="B796" s="56">
        <v>1447</v>
      </c>
      <c r="C796" s="4">
        <v>43912</v>
      </c>
      <c r="D796" s="160" t="s">
        <v>1341</v>
      </c>
      <c r="E796" s="80">
        <v>-61.884754965999996</v>
      </c>
      <c r="F796" s="80">
        <v>3.0000000000000001E-3</v>
      </c>
      <c r="G796" s="80">
        <v>-383.52855216799998</v>
      </c>
      <c r="H796" s="80">
        <v>2.4E-2</v>
      </c>
      <c r="I796" s="80">
        <v>3.383904236684554</v>
      </c>
      <c r="J796" s="80">
        <v>0.138233383435137</v>
      </c>
      <c r="K796" s="80">
        <v>-10.606822009041617</v>
      </c>
      <c r="L796" s="80">
        <v>0.78501148953000877</v>
      </c>
      <c r="N796" s="56">
        <v>20</v>
      </c>
      <c r="O796" s="56">
        <v>40</v>
      </c>
    </row>
    <row r="797" spans="1:15" x14ac:dyDescent="0.2">
      <c r="A797" s="56">
        <v>4118</v>
      </c>
      <c r="B797" s="56">
        <v>1448</v>
      </c>
      <c r="C797" s="4">
        <v>43914</v>
      </c>
      <c r="D797" s="160" t="s">
        <v>1342</v>
      </c>
      <c r="E797" s="80">
        <v>-75.254389947999996</v>
      </c>
      <c r="F797" s="80">
        <v>5.0000000000000001E-3</v>
      </c>
      <c r="G797" s="80">
        <v>-119.24128634200001</v>
      </c>
      <c r="H797" s="80">
        <v>2.1000000000000001E-2</v>
      </c>
      <c r="I797" s="80">
        <v>12.264322585679777</v>
      </c>
      <c r="J797" s="80">
        <v>0.15533623737259117</v>
      </c>
      <c r="K797" s="80">
        <v>36.997422691541715</v>
      </c>
      <c r="L797" s="80">
        <v>0.62021718245951762</v>
      </c>
      <c r="N797" s="56">
        <v>20</v>
      </c>
      <c r="O797" s="56">
        <v>40</v>
      </c>
    </row>
    <row r="798" spans="1:15" x14ac:dyDescent="0.2">
      <c r="A798" s="56">
        <v>4120</v>
      </c>
      <c r="B798" s="56">
        <v>1449</v>
      </c>
      <c r="C798" s="4">
        <v>43915</v>
      </c>
      <c r="D798" s="160" t="s">
        <v>1343</v>
      </c>
      <c r="E798" s="80">
        <v>-82.908356653000013</v>
      </c>
      <c r="F798" s="80">
        <v>8.0000000000000002E-3</v>
      </c>
      <c r="G798" s="80">
        <v>-104.676479422</v>
      </c>
      <c r="H798" s="80">
        <v>0.02</v>
      </c>
      <c r="I798" s="80">
        <v>16.640680226985616</v>
      </c>
      <c r="J798" s="80">
        <v>0.12250683861397078</v>
      </c>
      <c r="K798" s="80">
        <v>95.54632261877849</v>
      </c>
      <c r="L798" s="80">
        <v>0.51616486571493214</v>
      </c>
      <c r="N798" s="56">
        <v>20</v>
      </c>
      <c r="O798" s="56">
        <v>40</v>
      </c>
    </row>
    <row r="799" spans="1:15" x14ac:dyDescent="0.2">
      <c r="A799" s="56">
        <v>4122</v>
      </c>
      <c r="B799" s="56">
        <v>1450</v>
      </c>
      <c r="C799" s="4">
        <v>43917</v>
      </c>
      <c r="D799" s="160" t="s">
        <v>1344</v>
      </c>
      <c r="E799" s="80">
        <v>-82.914136867000011</v>
      </c>
      <c r="F799" s="80">
        <v>5.0000000000000001E-3</v>
      </c>
      <c r="G799" s="80">
        <v>-136.32670810299999</v>
      </c>
      <c r="H799" s="80">
        <v>2.1000000000000001E-2</v>
      </c>
      <c r="I799" s="80">
        <v>11.857897098019876</v>
      </c>
      <c r="J799" s="80">
        <v>0.12023921058929582</v>
      </c>
      <c r="K799" s="80">
        <v>40.296922741422492</v>
      </c>
      <c r="L799" s="80">
        <v>0.57694031544570379</v>
      </c>
      <c r="N799" s="56">
        <v>20</v>
      </c>
      <c r="O799" s="56">
        <v>40</v>
      </c>
    </row>
    <row r="800" spans="1:15" x14ac:dyDescent="0.2">
      <c r="A800" s="56">
        <v>4124</v>
      </c>
      <c r="B800" s="56">
        <v>1451</v>
      </c>
      <c r="C800" s="4">
        <v>43918</v>
      </c>
      <c r="D800" s="160" t="s">
        <v>1345</v>
      </c>
      <c r="E800" s="80">
        <v>-66.250743274000001</v>
      </c>
      <c r="F800" s="80">
        <v>4.0000000000000001E-3</v>
      </c>
      <c r="G800" s="80">
        <v>-374.26089401799999</v>
      </c>
      <c r="H800" s="80">
        <v>2.5000000000000001E-2</v>
      </c>
      <c r="I800" s="80">
        <v>3.5948630048179275</v>
      </c>
      <c r="J800" s="80">
        <v>0.1372155963514633</v>
      </c>
      <c r="K800" s="80">
        <v>-9.9573499515718247</v>
      </c>
      <c r="L800" s="80">
        <v>0.80956404608618782</v>
      </c>
      <c r="N800" s="56">
        <v>20</v>
      </c>
      <c r="O800" s="56">
        <v>34</v>
      </c>
    </row>
    <row r="801" spans="1:15" x14ac:dyDescent="0.2">
      <c r="A801" s="56">
        <v>4126</v>
      </c>
      <c r="B801" s="56">
        <v>1452</v>
      </c>
      <c r="C801" s="4">
        <v>43921</v>
      </c>
      <c r="D801" s="160" t="s">
        <v>1346</v>
      </c>
      <c r="E801" s="80">
        <v>-57.872323080999998</v>
      </c>
      <c r="F801" s="80">
        <v>5.0000000000000001E-3</v>
      </c>
      <c r="G801" s="80">
        <v>-364.552904496</v>
      </c>
      <c r="H801" s="80">
        <v>2.4E-2</v>
      </c>
      <c r="I801" s="80">
        <v>3.1019087459118744</v>
      </c>
      <c r="J801" s="80">
        <v>0.17631740935252513</v>
      </c>
      <c r="K801" s="80">
        <v>-10.72487941731659</v>
      </c>
      <c r="L801" s="80">
        <v>0.77662294717415736</v>
      </c>
      <c r="N801" s="56">
        <v>16</v>
      </c>
      <c r="O801" s="56">
        <v>40</v>
      </c>
    </row>
    <row r="802" spans="1:15" x14ac:dyDescent="0.2">
      <c r="A802" s="56">
        <v>4128</v>
      </c>
      <c r="B802" s="56">
        <v>1452</v>
      </c>
      <c r="C802" s="4">
        <v>43921</v>
      </c>
      <c r="D802" s="160" t="s">
        <v>1347</v>
      </c>
      <c r="E802" s="80">
        <v>-76.120458678999995</v>
      </c>
      <c r="F802" s="80">
        <v>1.0999999999999999E-2</v>
      </c>
      <c r="G802" s="80">
        <v>-201.51080522300001</v>
      </c>
      <c r="H802" s="80">
        <v>4.3999999999999997E-2</v>
      </c>
      <c r="I802" s="80">
        <v>4.0839197628568247</v>
      </c>
      <c r="J802" s="80">
        <v>0.25626019718247961</v>
      </c>
      <c r="K802" s="80">
        <v>4.2628734213667752</v>
      </c>
      <c r="L802" s="80">
        <v>1.5464616125393544</v>
      </c>
      <c r="M802" s="160" t="s">
        <v>1348</v>
      </c>
      <c r="N802" s="56">
        <v>6</v>
      </c>
      <c r="O802" s="56">
        <v>9</v>
      </c>
    </row>
    <row r="803" spans="1:15" x14ac:dyDescent="0.2">
      <c r="A803" s="56">
        <v>4130</v>
      </c>
      <c r="B803" s="56">
        <v>1454</v>
      </c>
      <c r="C803" s="4">
        <v>43922</v>
      </c>
      <c r="D803" s="160" t="s">
        <v>1349</v>
      </c>
      <c r="E803" s="80">
        <v>-70.625401903000011</v>
      </c>
      <c r="F803" s="80">
        <v>3.0000000000000001E-3</v>
      </c>
      <c r="G803" s="80">
        <v>-199.95365047799999</v>
      </c>
      <c r="H803" s="80">
        <v>2.4E-2</v>
      </c>
      <c r="I803" s="80">
        <v>3.4760188612608101</v>
      </c>
      <c r="J803" s="80">
        <v>0.11335393358326028</v>
      </c>
      <c r="K803" s="80">
        <v>3.1004675262680248</v>
      </c>
      <c r="L803" s="80">
        <v>0.77419723623046044</v>
      </c>
      <c r="N803" s="56">
        <v>20</v>
      </c>
      <c r="O803" s="56">
        <v>40</v>
      </c>
    </row>
    <row r="804" spans="1:15" x14ac:dyDescent="0.2">
      <c r="A804" s="56">
        <v>4132</v>
      </c>
      <c r="B804" s="56">
        <v>1455</v>
      </c>
      <c r="C804" s="4">
        <v>43924</v>
      </c>
      <c r="D804" s="160" t="s">
        <v>1350</v>
      </c>
      <c r="E804" s="80">
        <v>-69.049330219000012</v>
      </c>
      <c r="F804" s="80">
        <v>0.01</v>
      </c>
      <c r="G804" s="80">
        <v>-200.636728632</v>
      </c>
      <c r="H804" s="80">
        <v>2.5000000000000001E-2</v>
      </c>
      <c r="I804" s="80">
        <v>3.6904536173165692</v>
      </c>
      <c r="J804" s="80">
        <v>0.18536630750894267</v>
      </c>
      <c r="K804" s="80">
        <v>2.3322111238690546</v>
      </c>
      <c r="L804" s="80">
        <v>0.83693529519791221</v>
      </c>
      <c r="M804" s="160" t="s">
        <v>1351</v>
      </c>
      <c r="N804" s="56">
        <v>10</v>
      </c>
      <c r="O804" s="56">
        <v>35</v>
      </c>
    </row>
    <row r="805" spans="1:15" x14ac:dyDescent="0.2">
      <c r="A805" s="56">
        <v>4135</v>
      </c>
      <c r="B805" s="56">
        <v>1456</v>
      </c>
      <c r="C805" s="4">
        <v>43926</v>
      </c>
      <c r="D805" s="160" t="s">
        <v>1352</v>
      </c>
      <c r="E805" s="80">
        <v>-61.604414587000001</v>
      </c>
      <c r="F805" s="80">
        <v>0.01</v>
      </c>
      <c r="G805" s="80">
        <v>-177.715975313</v>
      </c>
      <c r="H805" s="80">
        <v>2.5999999999999999E-2</v>
      </c>
      <c r="I805" s="80">
        <v>3.9818118726515639</v>
      </c>
      <c r="J805" s="80">
        <v>0.13074055645141147</v>
      </c>
      <c r="K805" s="80">
        <v>5.140070695913268</v>
      </c>
      <c r="L805" s="80">
        <v>0.8552812443326111</v>
      </c>
      <c r="N805" s="56">
        <v>20</v>
      </c>
      <c r="O805" s="56">
        <v>36</v>
      </c>
    </row>
    <row r="806" spans="1:15" x14ac:dyDescent="0.2">
      <c r="A806" s="56">
        <v>4137</v>
      </c>
      <c r="B806" s="56">
        <v>1457</v>
      </c>
      <c r="C806" s="4">
        <v>43927</v>
      </c>
      <c r="D806" s="160" t="s">
        <v>1353</v>
      </c>
      <c r="E806" s="80">
        <v>-62.624622357999996</v>
      </c>
      <c r="F806" s="80">
        <v>6.0000000000000001E-3</v>
      </c>
      <c r="G806" s="80">
        <v>-180.84722062500001</v>
      </c>
      <c r="H806" s="80">
        <v>2.8000000000000001E-2</v>
      </c>
      <c r="I806" s="80">
        <v>3.3577115950065295</v>
      </c>
      <c r="J806" s="80">
        <v>0.16271264113250392</v>
      </c>
      <c r="K806" s="80">
        <v>5.8409481150185627</v>
      </c>
      <c r="L806" s="80">
        <v>0.95444550736814715</v>
      </c>
      <c r="N806" s="56">
        <v>14</v>
      </c>
      <c r="O806" s="56">
        <v>30</v>
      </c>
    </row>
    <row r="807" spans="1:15" x14ac:dyDescent="0.2">
      <c r="A807" s="56">
        <v>4139</v>
      </c>
      <c r="B807" s="56">
        <v>1458</v>
      </c>
      <c r="C807" s="4">
        <v>43928</v>
      </c>
      <c r="D807" s="160" t="s">
        <v>1354</v>
      </c>
      <c r="E807" s="80">
        <v>-70.494383719000012</v>
      </c>
      <c r="F807" s="80">
        <v>6.0000000000000001E-3</v>
      </c>
      <c r="G807" s="80">
        <v>-47.880318587000005</v>
      </c>
      <c r="H807" s="80">
        <v>2.1999999999999999E-2</v>
      </c>
      <c r="I807" s="80">
        <v>17.520960011701447</v>
      </c>
      <c r="J807" s="80">
        <v>0.12906749362270362</v>
      </c>
      <c r="K807" s="80">
        <v>78.909033292779981</v>
      </c>
      <c r="L807" s="80">
        <v>0.61004634642155142</v>
      </c>
      <c r="N807" s="56">
        <v>20</v>
      </c>
      <c r="O807" s="56">
        <v>40</v>
      </c>
    </row>
    <row r="808" spans="1:15" x14ac:dyDescent="0.2">
      <c r="A808" s="56">
        <v>4141</v>
      </c>
      <c r="B808" s="56">
        <v>1459</v>
      </c>
      <c r="C808" s="4">
        <v>43930</v>
      </c>
      <c r="D808" s="160" t="s">
        <v>1355</v>
      </c>
      <c r="E808" s="80">
        <v>-68.263221115000007</v>
      </c>
      <c r="F808" s="80">
        <v>7.0000000000000001E-3</v>
      </c>
      <c r="G808" s="80">
        <v>-83.421081933000011</v>
      </c>
      <c r="H808" s="80">
        <v>2.3E-2</v>
      </c>
      <c r="I808" s="80">
        <v>11.645368878791418</v>
      </c>
      <c r="J808" s="80">
        <v>0.13917595955923182</v>
      </c>
      <c r="K808" s="80">
        <v>43.838641363680878</v>
      </c>
      <c r="L808" s="80">
        <v>0.60970643094099664</v>
      </c>
      <c r="N808" s="56">
        <v>20</v>
      </c>
      <c r="O808" s="56">
        <v>40</v>
      </c>
    </row>
    <row r="809" spans="1:15" x14ac:dyDescent="0.2">
      <c r="A809" s="56">
        <v>4144</v>
      </c>
      <c r="B809" s="56">
        <v>1460</v>
      </c>
      <c r="C809" s="4">
        <v>43931</v>
      </c>
      <c r="D809" s="160" t="s">
        <v>1356</v>
      </c>
      <c r="E809" s="80">
        <v>-68.970333961000009</v>
      </c>
      <c r="F809" s="80">
        <v>6.0000000000000001E-3</v>
      </c>
      <c r="G809" s="80">
        <v>-185.90726788699999</v>
      </c>
      <c r="H809" s="80">
        <v>2.3E-2</v>
      </c>
      <c r="I809" s="80">
        <v>5.8582909710513942</v>
      </c>
      <c r="J809" s="80">
        <v>0.11455631229444774</v>
      </c>
      <c r="K809" s="80">
        <v>19.300427327302749</v>
      </c>
      <c r="L809" s="80">
        <v>0.61437915617311611</v>
      </c>
      <c r="N809" s="56">
        <v>20</v>
      </c>
      <c r="O809" s="56">
        <v>40</v>
      </c>
    </row>
    <row r="810" spans="1:15" x14ac:dyDescent="0.2">
      <c r="A810" s="56">
        <v>4146</v>
      </c>
      <c r="B810" s="56">
        <v>1461</v>
      </c>
      <c r="C810" s="4">
        <v>43933</v>
      </c>
      <c r="D810" s="160" t="s">
        <v>1357</v>
      </c>
      <c r="E810" s="80">
        <v>-81.711852355000005</v>
      </c>
      <c r="F810" s="80">
        <v>6.0000000000000001E-3</v>
      </c>
      <c r="G810" s="80">
        <v>-25.854341197000004</v>
      </c>
      <c r="H810" s="80">
        <v>0.03</v>
      </c>
      <c r="I810" s="80">
        <v>21.409924427180592</v>
      </c>
      <c r="J810" s="80">
        <v>0.13022880675652093</v>
      </c>
      <c r="K810" s="80">
        <v>122.86726876911725</v>
      </c>
      <c r="L810" s="80">
        <v>0.70751852911607349</v>
      </c>
      <c r="N810" s="56">
        <v>18</v>
      </c>
      <c r="O810" s="56">
        <v>29</v>
      </c>
    </row>
    <row r="811" spans="1:15" x14ac:dyDescent="0.2">
      <c r="A811" s="56">
        <v>4148</v>
      </c>
      <c r="B811" s="56">
        <v>1462</v>
      </c>
      <c r="C811" s="4">
        <v>43934</v>
      </c>
      <c r="D811" s="160" t="s">
        <v>1358</v>
      </c>
      <c r="E811" s="80">
        <v>-70.508834253999993</v>
      </c>
      <c r="F811" s="80">
        <v>5.0000000000000001E-3</v>
      </c>
      <c r="G811" s="80">
        <v>-118.14516230699999</v>
      </c>
      <c r="H811" s="80">
        <v>2.1999999999999999E-2</v>
      </c>
      <c r="I811" s="80">
        <v>10.991952241335978</v>
      </c>
      <c r="J811" s="80">
        <v>0.11754469097103366</v>
      </c>
      <c r="K811" s="80">
        <v>40.957666807431181</v>
      </c>
      <c r="L811" s="80">
        <v>0.54460727581173962</v>
      </c>
      <c r="N811" s="56">
        <v>20</v>
      </c>
      <c r="O811" s="56">
        <v>40</v>
      </c>
    </row>
    <row r="812" spans="1:15" x14ac:dyDescent="0.2">
      <c r="A812" s="56">
        <v>4150</v>
      </c>
      <c r="B812" s="56">
        <v>1463</v>
      </c>
      <c r="C812" s="4">
        <v>43935</v>
      </c>
      <c r="D812" s="160" t="s">
        <v>1359</v>
      </c>
      <c r="E812" s="80">
        <v>-56.930148199000001</v>
      </c>
      <c r="F812" s="80">
        <v>8.0000000000000002E-3</v>
      </c>
      <c r="G812" s="80">
        <v>-179.304179065</v>
      </c>
      <c r="H812" s="80">
        <v>2.4E-2</v>
      </c>
      <c r="I812" s="80">
        <v>3.880750350949258</v>
      </c>
      <c r="J812" s="80">
        <v>0.15609861560099092</v>
      </c>
      <c r="K812" s="80">
        <v>8.3354780787316951</v>
      </c>
      <c r="L812" s="80">
        <v>0.66578715970220181</v>
      </c>
      <c r="N812" s="56">
        <v>20</v>
      </c>
      <c r="O812" s="56">
        <v>39</v>
      </c>
    </row>
    <row r="813" spans="1:15" x14ac:dyDescent="0.2">
      <c r="A813" s="56">
        <v>4152</v>
      </c>
      <c r="B813" s="56">
        <v>1464</v>
      </c>
      <c r="C813" s="4">
        <v>43937</v>
      </c>
      <c r="D813" s="160" t="s">
        <v>1360</v>
      </c>
      <c r="E813" s="80">
        <v>-57.708550351000007</v>
      </c>
      <c r="F813" s="80">
        <v>1.6E-2</v>
      </c>
      <c r="G813" s="80">
        <v>-178.59475629900001</v>
      </c>
      <c r="H813" s="80">
        <v>2.5999999999999999E-2</v>
      </c>
      <c r="I813" s="80">
        <v>3.8071601207840811</v>
      </c>
      <c r="J813" s="80">
        <v>0.16058748187300137</v>
      </c>
      <c r="K813" s="80">
        <v>9.7696257094626038</v>
      </c>
      <c r="L813" s="80">
        <v>0.9945470208410262</v>
      </c>
      <c r="N813" s="56">
        <v>20</v>
      </c>
      <c r="O813" s="56">
        <v>32</v>
      </c>
    </row>
    <row r="814" spans="1:15" x14ac:dyDescent="0.2">
      <c r="A814" s="56">
        <v>4154</v>
      </c>
      <c r="B814" s="56">
        <v>1465</v>
      </c>
      <c r="C814" s="4">
        <v>43938</v>
      </c>
      <c r="D814" s="160" t="s">
        <v>1361</v>
      </c>
      <c r="E814" s="80">
        <v>-57.664235376999997</v>
      </c>
      <c r="F814" s="80">
        <v>6.0000000000000001E-3</v>
      </c>
      <c r="G814" s="80">
        <v>-192.00134116999999</v>
      </c>
      <c r="H814" s="80">
        <v>2.1000000000000001E-2</v>
      </c>
      <c r="I814" s="80">
        <v>3.0520200759189819</v>
      </c>
      <c r="J814" s="80">
        <v>0.1124026088735636</v>
      </c>
      <c r="K814" s="80">
        <v>3.7058330878418921</v>
      </c>
      <c r="L814" s="80">
        <v>0.77161620909074025</v>
      </c>
      <c r="N814" s="56">
        <v>20</v>
      </c>
      <c r="O814" s="56">
        <v>39</v>
      </c>
    </row>
    <row r="815" spans="1:15" x14ac:dyDescent="0.2">
      <c r="A815" s="56">
        <v>4158</v>
      </c>
      <c r="B815" s="56">
        <v>1466</v>
      </c>
      <c r="C815" s="4">
        <v>43940</v>
      </c>
      <c r="D815" s="160" t="s">
        <v>1362</v>
      </c>
      <c r="E815" s="80">
        <v>-56.965792852000007</v>
      </c>
      <c r="F815" s="80">
        <v>1.0999999999999999E-2</v>
      </c>
      <c r="G815" s="80">
        <v>-180.32691453800001</v>
      </c>
      <c r="H815" s="80">
        <v>3.9E-2</v>
      </c>
      <c r="I815" s="80">
        <v>3.7571384232724103</v>
      </c>
      <c r="J815" s="80">
        <v>0.19667200087100867</v>
      </c>
      <c r="K815" s="80">
        <v>4.950127630811707</v>
      </c>
      <c r="L815" s="80">
        <v>1.2305173051974143</v>
      </c>
      <c r="M815" s="160" t="s">
        <v>1363</v>
      </c>
      <c r="N815" s="56">
        <v>7</v>
      </c>
      <c r="O815" s="56">
        <v>16</v>
      </c>
    </row>
    <row r="816" spans="1:15" x14ac:dyDescent="0.2">
      <c r="A816" s="56">
        <v>4160</v>
      </c>
      <c r="B816" s="56">
        <v>1468</v>
      </c>
      <c r="C816" s="4">
        <v>43940</v>
      </c>
      <c r="D816" s="160" t="s">
        <v>1364</v>
      </c>
      <c r="E816" s="80">
        <v>-57.585239119000008</v>
      </c>
      <c r="F816" s="80">
        <v>0.02</v>
      </c>
      <c r="G816" s="80">
        <v>-181.713770184</v>
      </c>
      <c r="H816" s="80">
        <v>2.4E-2</v>
      </c>
      <c r="I816" s="80">
        <v>3.8107716512607581</v>
      </c>
      <c r="J816" s="80">
        <v>0.20740162722784919</v>
      </c>
      <c r="K816" s="80">
        <v>6.2287314834281737</v>
      </c>
      <c r="L816" s="80">
        <v>0.65275330263782239</v>
      </c>
      <c r="N816" s="56">
        <v>20</v>
      </c>
      <c r="O816" s="56">
        <v>40</v>
      </c>
    </row>
    <row r="817" spans="1:15" x14ac:dyDescent="0.2">
      <c r="A817" s="56">
        <v>4162</v>
      </c>
      <c r="B817" s="56">
        <v>1468</v>
      </c>
      <c r="C817" s="4">
        <v>43942</v>
      </c>
      <c r="D817" s="160" t="s">
        <v>1365</v>
      </c>
      <c r="E817" s="80">
        <v>-77.504819932000004</v>
      </c>
      <c r="F817" s="80">
        <v>2.5999999999999999E-2</v>
      </c>
      <c r="G817" s="80">
        <v>-156.53114374900002</v>
      </c>
      <c r="H817" s="80">
        <v>0.03</v>
      </c>
      <c r="I817" s="80">
        <v>9.8442074623616982</v>
      </c>
      <c r="J817" s="80">
        <v>0.16092904369909114</v>
      </c>
      <c r="K817" s="80">
        <v>29.827147061047832</v>
      </c>
      <c r="L817" s="80">
        <v>0.57326322491421999</v>
      </c>
      <c r="N817" s="56">
        <v>20</v>
      </c>
      <c r="O817" s="56">
        <v>40</v>
      </c>
    </row>
    <row r="818" spans="1:15" x14ac:dyDescent="0.2">
      <c r="A818" s="56">
        <v>4164</v>
      </c>
      <c r="B818" s="56">
        <v>1469</v>
      </c>
      <c r="C818" s="4">
        <v>43944</v>
      </c>
      <c r="D818" s="160" t="s">
        <v>1366</v>
      </c>
      <c r="E818" s="80">
        <v>-93.340679554000005</v>
      </c>
      <c r="F818" s="80">
        <v>3.0000000000000001E-3</v>
      </c>
      <c r="G818" s="80">
        <v>-196.039593838</v>
      </c>
      <c r="H818" s="80">
        <v>0.02</v>
      </c>
      <c r="I818" s="80">
        <v>6.7061818483484803</v>
      </c>
      <c r="J818" s="80">
        <v>0.13026987869437662</v>
      </c>
      <c r="K818" s="80">
        <v>17.621351425114675</v>
      </c>
      <c r="L818" s="80">
        <v>0.57533589092050796</v>
      </c>
      <c r="N818" s="56">
        <v>20</v>
      </c>
      <c r="O818" s="56">
        <v>40</v>
      </c>
    </row>
    <row r="819" spans="1:15" x14ac:dyDescent="0.2">
      <c r="A819" s="56">
        <v>4101</v>
      </c>
      <c r="B819" s="56">
        <v>1470</v>
      </c>
      <c r="C819" s="4">
        <v>43944</v>
      </c>
      <c r="D819" s="160" t="s">
        <v>1367</v>
      </c>
      <c r="E819" s="80">
        <v>-39.128999999999998</v>
      </c>
      <c r="F819" s="80">
        <v>5.0000000000000001E-3</v>
      </c>
      <c r="G819" s="80">
        <v>-392.41300000000001</v>
      </c>
      <c r="H819" s="80">
        <v>2.5000000000000001E-2</v>
      </c>
      <c r="I819" s="80">
        <v>2.1640000000000001</v>
      </c>
      <c r="J819" s="80">
        <v>0.129</v>
      </c>
      <c r="K819" s="80">
        <v>-8.077</v>
      </c>
      <c r="L819" s="83">
        <v>0.75800000000000001</v>
      </c>
      <c r="N819" s="56">
        <v>20</v>
      </c>
      <c r="O819" s="56">
        <v>35</v>
      </c>
    </row>
    <row r="820" spans="1:15" x14ac:dyDescent="0.2">
      <c r="A820" s="56">
        <v>4169</v>
      </c>
      <c r="B820" s="56">
        <v>1471</v>
      </c>
      <c r="C820" s="4">
        <v>43946</v>
      </c>
      <c r="D820" s="160" t="s">
        <v>1368</v>
      </c>
      <c r="E820" s="80">
        <v>-93.258793189000002</v>
      </c>
      <c r="F820" s="80">
        <v>3.0000000000000001E-3</v>
      </c>
      <c r="G820" s="80">
        <v>-193.55849591500001</v>
      </c>
      <c r="H820" s="80">
        <v>2.1999999999999999E-2</v>
      </c>
      <c r="I820" s="80">
        <v>6.6097940861229443</v>
      </c>
      <c r="J820" s="80">
        <v>0.1290885720757442</v>
      </c>
      <c r="K820" s="80">
        <v>21.493617208453664</v>
      </c>
      <c r="L820" s="80">
        <v>0.6417826713133411</v>
      </c>
      <c r="N820" s="56">
        <v>20</v>
      </c>
      <c r="O820" s="56">
        <v>40</v>
      </c>
    </row>
    <row r="821" spans="1:15" x14ac:dyDescent="0.2">
      <c r="A821" s="56">
        <v>4171</v>
      </c>
      <c r="B821" s="56">
        <v>1472</v>
      </c>
      <c r="C821" s="4">
        <v>43948</v>
      </c>
      <c r="D821" s="160" t="s">
        <v>1369</v>
      </c>
      <c r="E821" s="80">
        <v>-90.092199285999996</v>
      </c>
      <c r="F821" s="80">
        <v>3.0000000000000001E-3</v>
      </c>
      <c r="G821" s="80">
        <v>-182.76567290599999</v>
      </c>
      <c r="H821" s="80">
        <v>2.5999999999999999E-2</v>
      </c>
      <c r="I821" s="80">
        <v>12.222993229250578</v>
      </c>
      <c r="J821" s="80">
        <v>0.13038003638344539</v>
      </c>
      <c r="K821" s="80">
        <v>98.553459312932915</v>
      </c>
      <c r="L821" s="80">
        <v>0.64646579019774586</v>
      </c>
      <c r="N821" s="56">
        <v>20</v>
      </c>
      <c r="O821" s="56">
        <v>40</v>
      </c>
    </row>
    <row r="822" spans="1:15" x14ac:dyDescent="0.2">
      <c r="A822" s="56">
        <v>4173</v>
      </c>
      <c r="B822" s="56">
        <v>1473</v>
      </c>
      <c r="C822" s="4">
        <v>43950</v>
      </c>
      <c r="D822" s="160" t="s">
        <v>1370</v>
      </c>
      <c r="E822" s="80">
        <v>-65.906820541000002</v>
      </c>
      <c r="F822" s="80">
        <v>1.2E-2</v>
      </c>
      <c r="G822" s="80">
        <v>-194.02140838300002</v>
      </c>
      <c r="H822" s="80">
        <v>3.6999999999999998E-2</v>
      </c>
      <c r="I822" s="80">
        <v>6.7652497062706818</v>
      </c>
      <c r="J822" s="80">
        <v>0.14909506072819681</v>
      </c>
      <c r="K822" s="80">
        <v>20.77877450425558</v>
      </c>
      <c r="L822" s="80">
        <v>1.0650152926990932</v>
      </c>
      <c r="M822" s="160" t="s">
        <v>1363</v>
      </c>
      <c r="N822" s="56">
        <v>14</v>
      </c>
      <c r="O822" s="56">
        <v>15</v>
      </c>
    </row>
    <row r="823" spans="1:15" x14ac:dyDescent="0.2">
      <c r="A823" s="56">
        <v>4175</v>
      </c>
      <c r="B823" s="56">
        <v>1474</v>
      </c>
      <c r="C823" s="4">
        <v>43950</v>
      </c>
      <c r="D823" s="160" t="s">
        <v>1371</v>
      </c>
      <c r="E823" s="80">
        <v>-82.941111199000005</v>
      </c>
      <c r="F823" s="80">
        <v>6.0000000000000001E-3</v>
      </c>
      <c r="G823" s="80">
        <v>-114.88125305600001</v>
      </c>
      <c r="H823" s="80">
        <v>2.1000000000000001E-2</v>
      </c>
      <c r="I823" s="80">
        <v>14.153096718865443</v>
      </c>
      <c r="J823" s="80">
        <v>0.13935108906958735</v>
      </c>
      <c r="K823" s="80">
        <v>65.347409766607583</v>
      </c>
      <c r="L823" s="80">
        <v>0.63500231229389048</v>
      </c>
      <c r="N823" s="56">
        <v>19</v>
      </c>
      <c r="O823" s="56">
        <v>39</v>
      </c>
    </row>
    <row r="824" spans="1:15" x14ac:dyDescent="0.2">
      <c r="A824" s="56">
        <v>4185</v>
      </c>
      <c r="B824" s="56">
        <v>1476</v>
      </c>
      <c r="C824" s="4">
        <v>43953</v>
      </c>
      <c r="D824" s="160" t="s">
        <v>1372</v>
      </c>
      <c r="E824" s="80">
        <v>-70.213079971000013</v>
      </c>
      <c r="F824" s="80">
        <v>5.0000000000000001E-3</v>
      </c>
      <c r="G824" s="80">
        <v>-187.57168283800002</v>
      </c>
      <c r="H824" s="80">
        <v>2.5999999999999999E-2</v>
      </c>
      <c r="I824" s="80">
        <v>5.7419531676752289</v>
      </c>
      <c r="J824" s="80">
        <v>0.14488830924274551</v>
      </c>
      <c r="K824" s="80">
        <v>17.935894469855107</v>
      </c>
      <c r="L824" s="80">
        <v>0.71282634318086446</v>
      </c>
      <c r="N824" s="56">
        <v>20</v>
      </c>
      <c r="O824" s="56">
        <v>40</v>
      </c>
    </row>
    <row r="825" spans="1:15" x14ac:dyDescent="0.2">
      <c r="A825" s="56">
        <v>4185</v>
      </c>
      <c r="B825" s="56">
        <v>1477</v>
      </c>
      <c r="C825" s="4">
        <v>43954</v>
      </c>
      <c r="D825" s="160" t="s">
        <v>1373</v>
      </c>
      <c r="E825" s="80">
        <v>-62.553333051999999</v>
      </c>
      <c r="F825" s="80">
        <v>8.9999999999999993E-3</v>
      </c>
      <c r="G825" s="80">
        <v>-183.79405365300002</v>
      </c>
      <c r="H825" s="80">
        <v>2.3E-2</v>
      </c>
      <c r="I825" s="80">
        <v>4.75120316101596</v>
      </c>
      <c r="J825" s="80">
        <v>0.13796253930399247</v>
      </c>
      <c r="K825" s="80">
        <v>13.073228746581123</v>
      </c>
      <c r="L825" s="80">
        <v>0.73389517371485369</v>
      </c>
      <c r="N825" s="56">
        <v>20</v>
      </c>
      <c r="O825" s="56">
        <v>40</v>
      </c>
    </row>
    <row r="826" spans="1:15" x14ac:dyDescent="0.2">
      <c r="A826" s="56">
        <v>4189</v>
      </c>
      <c r="B826" s="56">
        <v>1478</v>
      </c>
      <c r="C826" s="4">
        <v>43956</v>
      </c>
      <c r="D826" s="160" t="s">
        <v>1374</v>
      </c>
      <c r="E826" s="80">
        <v>-94.401348822999992</v>
      </c>
      <c r="F826" s="80">
        <v>5.0000000000000001E-3</v>
      </c>
      <c r="G826" s="80">
        <v>-191.36436608700001</v>
      </c>
      <c r="H826" s="80">
        <v>2.3E-2</v>
      </c>
      <c r="I826" s="80">
        <v>7.2121015180726111</v>
      </c>
      <c r="J826" s="80">
        <v>0.12196177369452101</v>
      </c>
      <c r="K826" s="80">
        <v>25.418437409228112</v>
      </c>
      <c r="L826" s="80">
        <v>0.64926205267780845</v>
      </c>
      <c r="N826" s="56">
        <v>20</v>
      </c>
      <c r="O826" s="56">
        <v>40</v>
      </c>
    </row>
    <row r="827" spans="1:15" x14ac:dyDescent="0.2">
      <c r="A827" s="56">
        <v>4191</v>
      </c>
      <c r="B827" s="56">
        <v>1479</v>
      </c>
      <c r="C827" s="4">
        <v>43957</v>
      </c>
      <c r="D827" s="160" t="s">
        <v>1375</v>
      </c>
      <c r="E827" s="80">
        <v>-94.358960586999999</v>
      </c>
      <c r="F827" s="80">
        <v>7.0000000000000001E-3</v>
      </c>
      <c r="G827" s="80">
        <v>-176.85601190699998</v>
      </c>
      <c r="H827" s="80">
        <v>0.02</v>
      </c>
      <c r="I827" s="80">
        <v>8.3311630416815774</v>
      </c>
      <c r="J827" s="80">
        <v>0.13114452954783956</v>
      </c>
      <c r="K827" s="80">
        <v>32.241963476808522</v>
      </c>
      <c r="L827" s="80">
        <v>0.56017780431245878</v>
      </c>
      <c r="N827" s="56">
        <v>20</v>
      </c>
      <c r="O827" s="56">
        <v>40</v>
      </c>
    </row>
    <row r="828" spans="1:15" x14ac:dyDescent="0.2">
      <c r="A828" s="56">
        <v>4193</v>
      </c>
      <c r="B828" s="56">
        <v>1480</v>
      </c>
      <c r="C828" s="4">
        <v>43958</v>
      </c>
      <c r="D828" s="160" t="s">
        <v>1376</v>
      </c>
      <c r="E828" s="80">
        <v>-93.980356569999998</v>
      </c>
      <c r="F828" s="80">
        <v>5.0000000000000001E-3</v>
      </c>
      <c r="G828" s="80">
        <v>-154.42263391</v>
      </c>
      <c r="H828" s="80">
        <v>2.5999999999999999E-2</v>
      </c>
      <c r="I828" s="80">
        <v>10.009858175541231</v>
      </c>
      <c r="J828" s="80">
        <v>0.14042267978533732</v>
      </c>
      <c r="K828" s="80">
        <v>44.385697921783375</v>
      </c>
      <c r="L828" s="80">
        <v>0.70205762969284924</v>
      </c>
      <c r="N828" s="56">
        <v>16</v>
      </c>
      <c r="O828" s="56">
        <v>30</v>
      </c>
    </row>
    <row r="829" spans="1:15" x14ac:dyDescent="0.2">
      <c r="A829" s="56">
        <v>4195</v>
      </c>
      <c r="B829" s="56">
        <v>1481</v>
      </c>
      <c r="C829" s="4">
        <v>43959</v>
      </c>
      <c r="D829" s="160" t="s">
        <v>1377</v>
      </c>
      <c r="E829" s="80">
        <v>-55.334809135</v>
      </c>
      <c r="F829" s="80">
        <v>5.0000000000000001E-3</v>
      </c>
      <c r="G829" s="80">
        <v>-379.63331310799998</v>
      </c>
      <c r="H829" s="80">
        <v>2.8000000000000001E-2</v>
      </c>
      <c r="I829" s="80">
        <v>-3.9971495036983384</v>
      </c>
      <c r="J829" s="80">
        <v>0.15595860843270437</v>
      </c>
      <c r="K829" s="80">
        <v>-35.051630542329626</v>
      </c>
      <c r="L829" s="80">
        <v>0.89767965083344714</v>
      </c>
      <c r="N829" s="56">
        <v>17</v>
      </c>
      <c r="O829" s="56">
        <v>30</v>
      </c>
    </row>
    <row r="830" spans="1:15" x14ac:dyDescent="0.2">
      <c r="A830" s="56">
        <v>4197</v>
      </c>
      <c r="B830" s="56">
        <v>1482</v>
      </c>
      <c r="C830" s="4">
        <v>43960</v>
      </c>
      <c r="D830" s="160" t="s">
        <v>1378</v>
      </c>
      <c r="E830" s="80">
        <v>-51.878241162999998</v>
      </c>
      <c r="F830" s="80">
        <v>1.2E-2</v>
      </c>
      <c r="G830" s="80">
        <v>-382.88875444799999</v>
      </c>
      <c r="H830" s="80">
        <v>3.7999999999999999E-2</v>
      </c>
      <c r="I830" s="80">
        <v>-3.1244352977463086</v>
      </c>
      <c r="J830" s="80">
        <v>0.20095931827642974</v>
      </c>
      <c r="K830" s="80">
        <v>-35.632521753153682</v>
      </c>
      <c r="L830" s="80">
        <v>1.1024477311852838</v>
      </c>
      <c r="N830" s="56">
        <v>14</v>
      </c>
      <c r="O830" s="56">
        <v>28</v>
      </c>
    </row>
    <row r="831" spans="1:15" x14ac:dyDescent="0.2">
      <c r="A831" s="56">
        <v>4199</v>
      </c>
      <c r="B831" s="56">
        <v>1483</v>
      </c>
      <c r="C831" s="4">
        <v>43961</v>
      </c>
      <c r="D831" s="160" t="s">
        <v>1379</v>
      </c>
      <c r="E831" s="80">
        <v>-57.264437242</v>
      </c>
      <c r="F831" s="80">
        <v>8.9999999999999993E-3</v>
      </c>
      <c r="G831" s="80">
        <v>-321.49922233500001</v>
      </c>
      <c r="H831" s="80">
        <v>2.7E-2</v>
      </c>
      <c r="I831" s="80">
        <v>-0.10397217967561545</v>
      </c>
      <c r="J831" s="80">
        <v>0.1495918266659256</v>
      </c>
      <c r="K831" s="80">
        <v>-41.763439509912679</v>
      </c>
      <c r="L831" s="80">
        <v>0.84989637256956341</v>
      </c>
      <c r="N831" s="56">
        <v>15</v>
      </c>
      <c r="O831" s="56">
        <v>30</v>
      </c>
    </row>
    <row r="832" spans="1:15" x14ac:dyDescent="0.2">
      <c r="A832" s="56">
        <v>4201</v>
      </c>
      <c r="B832" s="56">
        <v>1484</v>
      </c>
      <c r="C832" s="4">
        <v>43962</v>
      </c>
      <c r="D832" s="160" t="s">
        <v>1380</v>
      </c>
      <c r="E832" s="80">
        <v>-70.294966336000002</v>
      </c>
      <c r="F832" s="80">
        <v>5.0000000000000001E-3</v>
      </c>
      <c r="G832" s="80">
        <v>-186.18200455499999</v>
      </c>
      <c r="H832" s="80">
        <v>3.1E-2</v>
      </c>
      <c r="I832" s="80">
        <v>5.713493220721455</v>
      </c>
      <c r="J832" s="80">
        <v>0.12292221499926016</v>
      </c>
      <c r="K832" s="80">
        <v>18.693306710354072</v>
      </c>
      <c r="L832" s="80">
        <v>0.75146793573659298</v>
      </c>
      <c r="N832" s="56">
        <v>20</v>
      </c>
      <c r="O832" s="56">
        <v>40</v>
      </c>
    </row>
    <row r="833" spans="1:24" x14ac:dyDescent="0.2">
      <c r="A833" s="56">
        <v>4206</v>
      </c>
      <c r="C833" s="4">
        <v>43986</v>
      </c>
      <c r="D833" s="160" t="s">
        <v>1381</v>
      </c>
      <c r="E833" s="80">
        <v>-36.474934222000002</v>
      </c>
      <c r="F833" s="80">
        <v>0.02</v>
      </c>
      <c r="G833" s="80">
        <v>-58.761584222000003</v>
      </c>
      <c r="H833" s="80">
        <v>0.13700000000000001</v>
      </c>
      <c r="I833" s="80">
        <v>-8.9666680748168304E-3</v>
      </c>
      <c r="J833" s="80">
        <v>0.37805192451520553</v>
      </c>
      <c r="K833" s="80">
        <v>-0.46045902680569295</v>
      </c>
      <c r="L833" s="80">
        <v>4.3034738731156059</v>
      </c>
      <c r="N833" s="56">
        <v>3</v>
      </c>
      <c r="O833" s="56">
        <v>2</v>
      </c>
    </row>
    <row r="834" spans="1:24" s="116" customFormat="1" x14ac:dyDescent="0.2">
      <c r="A834" s="112">
        <v>4208</v>
      </c>
      <c r="B834" s="112">
        <v>1485</v>
      </c>
      <c r="C834" s="198">
        <v>43987</v>
      </c>
      <c r="D834" s="175" t="s">
        <v>824</v>
      </c>
      <c r="E834" s="188">
        <v>-25.617765591999998</v>
      </c>
      <c r="F834" s="188">
        <v>7.0000000000000001E-3</v>
      </c>
      <c r="G834" s="188">
        <v>-153.76119597299999</v>
      </c>
      <c r="H834" s="188">
        <v>2.9000000000000001E-2</v>
      </c>
      <c r="I834" s="188">
        <v>2.9010611823319099</v>
      </c>
      <c r="J834" s="188">
        <v>0.16601940591001399</v>
      </c>
      <c r="K834" s="188">
        <v>10.988329775928563</v>
      </c>
      <c r="L834" s="188">
        <v>0.88035972960286046</v>
      </c>
      <c r="M834" s="175"/>
      <c r="N834" s="112">
        <v>19</v>
      </c>
      <c r="O834" s="112">
        <v>33</v>
      </c>
      <c r="P834" s="188"/>
      <c r="Q834" s="188"/>
      <c r="R834" s="188"/>
      <c r="S834" s="188"/>
      <c r="T834" s="188"/>
      <c r="U834" s="188"/>
      <c r="V834" s="175"/>
      <c r="W834" s="122"/>
      <c r="X834" s="122"/>
    </row>
    <row r="835" spans="1:24" x14ac:dyDescent="0.2">
      <c r="A835" s="56">
        <v>4210</v>
      </c>
      <c r="B835" s="56">
        <v>1486</v>
      </c>
      <c r="C835" s="4">
        <v>43988</v>
      </c>
      <c r="D835" s="160" t="s">
        <v>1382</v>
      </c>
      <c r="E835" s="80">
        <v>-54.490897891000003</v>
      </c>
      <c r="F835" s="80">
        <v>8.0000000000000002E-3</v>
      </c>
      <c r="G835" s="80">
        <v>-179.99290249300003</v>
      </c>
      <c r="H835" s="80">
        <v>7.9000000000000001E-2</v>
      </c>
      <c r="I835" s="80">
        <v>4.4618631958146526</v>
      </c>
      <c r="J835" s="80">
        <v>0.20505060869533495</v>
      </c>
      <c r="K835" s="80">
        <v>15.692912950906912</v>
      </c>
      <c r="L835" s="80">
        <v>1.3939766850781135</v>
      </c>
      <c r="N835" s="56">
        <v>18</v>
      </c>
      <c r="O835" s="56">
        <v>25</v>
      </c>
    </row>
    <row r="836" spans="1:24" x14ac:dyDescent="0.2">
      <c r="A836" s="56">
        <v>4212</v>
      </c>
      <c r="B836" s="56">
        <v>1487</v>
      </c>
      <c r="C836" s="4">
        <v>43990</v>
      </c>
      <c r="D836" s="160" t="s">
        <v>1383</v>
      </c>
      <c r="E836" s="80">
        <v>-59.297145831999998</v>
      </c>
      <c r="F836" s="80">
        <v>1.2E-2</v>
      </c>
      <c r="G836" s="80">
        <v>-195.817546394</v>
      </c>
      <c r="H836" s="80">
        <v>0.04</v>
      </c>
      <c r="I836" s="80">
        <v>4.2306863576617726</v>
      </c>
      <c r="J836" s="80">
        <v>0.16660024262402023</v>
      </c>
      <c r="K836" s="80">
        <v>-0.13673200224839643</v>
      </c>
      <c r="L836" s="80">
        <v>1.2821259951100319</v>
      </c>
      <c r="N836" s="56">
        <v>16</v>
      </c>
      <c r="O836" s="56">
        <v>36</v>
      </c>
    </row>
    <row r="837" spans="1:24" x14ac:dyDescent="0.2">
      <c r="A837" s="56">
        <v>4214</v>
      </c>
      <c r="B837" s="56">
        <v>1488</v>
      </c>
      <c r="C837" s="4">
        <v>43992</v>
      </c>
      <c r="D837" s="160" t="s">
        <v>1384</v>
      </c>
      <c r="E837" s="80">
        <v>-56.907027342999996</v>
      </c>
      <c r="F837" s="80">
        <v>2.5999999999999999E-2</v>
      </c>
      <c r="G837" s="80">
        <v>-192.12177368200003</v>
      </c>
      <c r="H837" s="80">
        <v>0.04</v>
      </c>
      <c r="I837" s="80">
        <v>2.7244267875563555</v>
      </c>
      <c r="J837" s="80">
        <v>0.27535560176141105</v>
      </c>
      <c r="K837" s="80">
        <v>1.2946585541129263</v>
      </c>
      <c r="L837" s="80">
        <v>1.4105463969732623</v>
      </c>
      <c r="N837" s="56">
        <v>20</v>
      </c>
      <c r="O837" s="56">
        <v>30</v>
      </c>
    </row>
    <row r="838" spans="1:24" x14ac:dyDescent="0.2">
      <c r="A838" s="56">
        <v>4216</v>
      </c>
      <c r="B838" s="56">
        <v>1490</v>
      </c>
      <c r="C838" s="4">
        <v>43993</v>
      </c>
      <c r="D838" s="160" t="s">
        <v>1385</v>
      </c>
      <c r="E838" s="80">
        <v>-70.530028372000004</v>
      </c>
      <c r="F838" s="80">
        <v>8.9999999999999993E-3</v>
      </c>
      <c r="G838" s="80">
        <v>-190.48276246400002</v>
      </c>
      <c r="H838" s="80">
        <v>2.5000000000000001E-2</v>
      </c>
      <c r="I838" s="80">
        <v>6.6598889189841692</v>
      </c>
      <c r="J838" s="80">
        <v>0.13485378018812663</v>
      </c>
      <c r="K838" s="80">
        <v>18.690204470048542</v>
      </c>
      <c r="L838" s="80">
        <v>0.99237085867642238</v>
      </c>
      <c r="N838" s="56">
        <v>15</v>
      </c>
      <c r="O838" s="56">
        <v>40</v>
      </c>
    </row>
    <row r="839" spans="1:24" x14ac:dyDescent="0.2">
      <c r="A839" s="56">
        <v>4218</v>
      </c>
      <c r="B839" s="56">
        <v>1491</v>
      </c>
      <c r="C839" s="4">
        <v>43994</v>
      </c>
      <c r="D839" s="160" t="s">
        <v>1386</v>
      </c>
      <c r="E839" s="80">
        <v>-64.140001795000003</v>
      </c>
      <c r="F839" s="80">
        <v>5.0999999999999997E-2</v>
      </c>
      <c r="G839" s="80">
        <v>-187.41737868200002</v>
      </c>
      <c r="H839" s="80">
        <v>2.4E-2</v>
      </c>
      <c r="I839" s="80">
        <v>7.1271354314341728</v>
      </c>
      <c r="J839" s="80">
        <v>0.22387868565247265</v>
      </c>
      <c r="K839" s="80">
        <v>20.788429373419071</v>
      </c>
      <c r="L839" s="80">
        <v>0.75079459367300505</v>
      </c>
      <c r="N839" s="56">
        <v>15</v>
      </c>
      <c r="O839" s="56">
        <v>39</v>
      </c>
    </row>
    <row r="840" spans="1:24" x14ac:dyDescent="0.2">
      <c r="A840" s="56">
        <v>4220</v>
      </c>
      <c r="B840" s="56">
        <v>1492</v>
      </c>
      <c r="C840" s="4">
        <v>43996</v>
      </c>
      <c r="D840" s="160" t="s">
        <v>1387</v>
      </c>
      <c r="E840" s="80">
        <v>-62.212300425999999</v>
      </c>
      <c r="F840" s="80">
        <v>6.0000000000000001E-3</v>
      </c>
      <c r="G840" s="80">
        <v>-178.833739565</v>
      </c>
      <c r="H840" s="80">
        <v>2.5000000000000001E-2</v>
      </c>
      <c r="I840" s="80">
        <v>3.7543144247362825</v>
      </c>
      <c r="J840" s="80">
        <v>0.12475119993265361</v>
      </c>
      <c r="K840" s="80">
        <v>3.9929994816800818</v>
      </c>
      <c r="L840" s="80">
        <v>0.70063266653297629</v>
      </c>
      <c r="N840" s="56">
        <v>20</v>
      </c>
      <c r="O840" s="56">
        <v>40</v>
      </c>
    </row>
    <row r="841" spans="1:24" x14ac:dyDescent="0.2">
      <c r="A841" s="56">
        <v>4222</v>
      </c>
      <c r="B841" s="56">
        <v>1493</v>
      </c>
      <c r="C841" s="4">
        <v>43997</v>
      </c>
      <c r="D841" s="160" t="s">
        <v>1388</v>
      </c>
      <c r="E841" s="80">
        <v>-58.967673634000001</v>
      </c>
      <c r="F841" s="80">
        <v>7.6999999999999999E-2</v>
      </c>
      <c r="G841" s="80">
        <v>-189.56070104400001</v>
      </c>
      <c r="H841" s="80">
        <v>2.4E-2</v>
      </c>
      <c r="I841" s="80">
        <v>5.9328038938200045</v>
      </c>
      <c r="J841" s="80">
        <v>0.22434904351571408</v>
      </c>
      <c r="K841" s="80">
        <v>21.94875433096999</v>
      </c>
      <c r="L841" s="80">
        <v>0.6566359602034465</v>
      </c>
      <c r="N841" s="56">
        <v>20</v>
      </c>
      <c r="O841" s="56">
        <v>31</v>
      </c>
    </row>
    <row r="842" spans="1:24" x14ac:dyDescent="0.2">
      <c r="A842" s="56">
        <v>4224</v>
      </c>
      <c r="B842" s="56">
        <v>1494</v>
      </c>
      <c r="C842" s="4">
        <v>43999</v>
      </c>
      <c r="D842" s="160" t="s">
        <v>1389</v>
      </c>
      <c r="E842" s="80">
        <v>-70.803625168000011</v>
      </c>
      <c r="F842" s="80">
        <v>6.5000000000000002E-2</v>
      </c>
      <c r="G842" s="80">
        <v>-186.98551522100001</v>
      </c>
      <c r="H842" s="80">
        <v>6.4000000000000001E-2</v>
      </c>
      <c r="I842" s="80">
        <v>5.5235837686891109</v>
      </c>
      <c r="J842" s="80">
        <v>0.3095900583784657</v>
      </c>
      <c r="K842" s="80">
        <v>12.941225280624691</v>
      </c>
      <c r="L842" s="80">
        <v>1.2295680416554211</v>
      </c>
      <c r="M842" s="160" t="s">
        <v>1390</v>
      </c>
      <c r="N842" s="56">
        <v>3</v>
      </c>
      <c r="O842" s="56">
        <v>14</v>
      </c>
    </row>
    <row r="843" spans="1:24" x14ac:dyDescent="0.2">
      <c r="A843" s="56">
        <v>4226</v>
      </c>
      <c r="B843" s="56">
        <v>1495</v>
      </c>
      <c r="C843" s="4">
        <v>44001</v>
      </c>
      <c r="D843" s="160" t="s">
        <v>1391</v>
      </c>
      <c r="E843" s="80">
        <v>-71.028090144999993</v>
      </c>
      <c r="F843" s="80">
        <v>1.7999999999999999E-2</v>
      </c>
      <c r="G843" s="80">
        <v>-188.21806671100001</v>
      </c>
      <c r="H843" s="80">
        <v>3.7999999999999999E-2</v>
      </c>
      <c r="I843" s="80">
        <v>5.5568210578014199</v>
      </c>
      <c r="J843" s="80">
        <v>0.14295333097429899</v>
      </c>
      <c r="K843" s="80">
        <v>17.195300506181567</v>
      </c>
      <c r="L843" s="80">
        <v>0.74890997751511046</v>
      </c>
      <c r="N843" s="56">
        <v>15</v>
      </c>
      <c r="O843" s="56">
        <v>40</v>
      </c>
    </row>
    <row r="844" spans="1:24" x14ac:dyDescent="0.2">
      <c r="A844" s="56">
        <v>4228</v>
      </c>
      <c r="B844" s="56">
        <v>1496</v>
      </c>
      <c r="C844" s="4">
        <v>44002</v>
      </c>
      <c r="D844" s="160" t="s">
        <v>1392</v>
      </c>
      <c r="E844" s="80">
        <v>-87.500736676000002</v>
      </c>
      <c r="F844" s="80">
        <v>1.4999999999999999E-2</v>
      </c>
      <c r="G844" s="80">
        <v>-195.69899563999999</v>
      </c>
      <c r="H844" s="80">
        <v>4.5999999999999999E-2</v>
      </c>
      <c r="I844" s="80">
        <v>5.8567677698218024</v>
      </c>
      <c r="J844" s="80">
        <v>0.14710301752922425</v>
      </c>
      <c r="K844" s="80">
        <v>18.18166504013363</v>
      </c>
      <c r="L844" s="80">
        <v>0.75660562758266814</v>
      </c>
      <c r="N844" s="56">
        <v>20</v>
      </c>
      <c r="O844" s="56">
        <v>40</v>
      </c>
    </row>
    <row r="845" spans="1:24" x14ac:dyDescent="0.2">
      <c r="A845" s="56">
        <v>4230</v>
      </c>
      <c r="B845" s="56">
        <v>1497</v>
      </c>
      <c r="C845" s="4">
        <v>44004</v>
      </c>
      <c r="D845" s="160" t="s">
        <v>1393</v>
      </c>
      <c r="E845" s="80">
        <v>-72.266019310000004</v>
      </c>
      <c r="F845" s="80">
        <v>2.7E-2</v>
      </c>
      <c r="G845" s="80">
        <v>-394.88213906099998</v>
      </c>
      <c r="H845" s="80">
        <v>2.3E-2</v>
      </c>
      <c r="I845" s="80">
        <v>2.5772469680416243</v>
      </c>
      <c r="J845" s="80">
        <v>0.16000929531707966</v>
      </c>
      <c r="K845" s="80">
        <v>-14.904090305366546</v>
      </c>
      <c r="L845" s="80">
        <v>0.76651043786753614</v>
      </c>
      <c r="N845" s="56">
        <v>20</v>
      </c>
      <c r="O845" s="56">
        <v>40</v>
      </c>
    </row>
    <row r="846" spans="1:24" x14ac:dyDescent="0.2">
      <c r="A846" s="56">
        <v>4232</v>
      </c>
      <c r="B846" s="56">
        <v>1498</v>
      </c>
      <c r="C846" s="4">
        <v>44005</v>
      </c>
      <c r="D846" s="160" t="s">
        <v>1394</v>
      </c>
      <c r="E846" s="80">
        <v>-53.662400551000005</v>
      </c>
      <c r="F846" s="80">
        <v>5.8000000000000003E-2</v>
      </c>
      <c r="G846" s="80">
        <v>-179.160224578</v>
      </c>
      <c r="H846" s="80">
        <v>6.8000000000000005E-2</v>
      </c>
      <c r="I846" s="80">
        <v>2.4022286469158605</v>
      </c>
      <c r="J846" s="80">
        <v>0.46893723153044164</v>
      </c>
      <c r="K846" s="80">
        <v>4.4019346853232388</v>
      </c>
      <c r="L846" s="80">
        <v>1.4708414530738974</v>
      </c>
      <c r="N846" s="56">
        <v>4</v>
      </c>
      <c r="O846" s="56">
        <v>7</v>
      </c>
    </row>
    <row r="847" spans="1:24" x14ac:dyDescent="0.2">
      <c r="A847" s="56">
        <v>4234</v>
      </c>
      <c r="B847" s="56">
        <v>1500</v>
      </c>
      <c r="C847" s="4">
        <v>44006</v>
      </c>
      <c r="D847" s="160" t="s">
        <v>1395</v>
      </c>
      <c r="E847" s="80">
        <v>-53.480323809999994</v>
      </c>
      <c r="F847" s="80">
        <v>1.7999999999999999E-2</v>
      </c>
      <c r="G847" s="80">
        <v>-188.53326117600002</v>
      </c>
      <c r="H847" s="80">
        <v>2.3E-2</v>
      </c>
      <c r="I847" s="80">
        <v>4.6916620836350287</v>
      </c>
      <c r="J847" s="80">
        <v>0.21256138449810666</v>
      </c>
      <c r="K847" s="80">
        <v>10.042945251664159</v>
      </c>
      <c r="L847" s="80">
        <v>0.72741638686391552</v>
      </c>
      <c r="N847" s="56">
        <v>20</v>
      </c>
      <c r="O847" s="56">
        <v>40</v>
      </c>
    </row>
    <row r="848" spans="1:24" x14ac:dyDescent="0.2">
      <c r="A848" s="56">
        <v>4236</v>
      </c>
      <c r="B848" s="56">
        <v>1501</v>
      </c>
      <c r="C848" s="4">
        <v>44008</v>
      </c>
      <c r="D848" s="160" t="s">
        <v>1396</v>
      </c>
      <c r="E848" s="80">
        <v>-72.168719041000003</v>
      </c>
      <c r="F848" s="80">
        <v>2.1000000000000001E-2</v>
      </c>
      <c r="G848" s="80">
        <v>-394.973404324</v>
      </c>
      <c r="H848" s="80">
        <v>2.5000000000000001E-2</v>
      </c>
      <c r="I848" s="80">
        <v>3.0915791518861813</v>
      </c>
      <c r="J848" s="80">
        <v>0.16287978800015165</v>
      </c>
      <c r="K848" s="80">
        <v>-15.210953300009988</v>
      </c>
      <c r="L848" s="80">
        <v>0.89226768094857523</v>
      </c>
      <c r="N848" s="56">
        <v>20</v>
      </c>
      <c r="O848" s="56">
        <v>40</v>
      </c>
    </row>
    <row r="849" spans="1:15" x14ac:dyDescent="0.2">
      <c r="A849" s="56">
        <v>4238</v>
      </c>
      <c r="B849" s="56">
        <v>1502</v>
      </c>
      <c r="C849" s="4">
        <v>44009</v>
      </c>
      <c r="D849" s="160" t="s">
        <v>1397</v>
      </c>
      <c r="E849" s="80">
        <v>-58.251890466999996</v>
      </c>
      <c r="F849" s="80">
        <v>5.0000000000000001E-3</v>
      </c>
      <c r="G849" s="80">
        <v>-431.10127616599993</v>
      </c>
      <c r="H849" s="80">
        <v>0.04</v>
      </c>
      <c r="I849" s="80">
        <v>0.35280170589446769</v>
      </c>
      <c r="J849" s="80">
        <v>0.21038087137287778</v>
      </c>
      <c r="K849" s="80">
        <v>-38.988464458221131</v>
      </c>
      <c r="L849" s="80">
        <v>1.24463631606416</v>
      </c>
      <c r="N849" s="56">
        <v>16</v>
      </c>
      <c r="O849" s="56">
        <v>30</v>
      </c>
    </row>
    <row r="850" spans="1:15" x14ac:dyDescent="0.2">
      <c r="A850" s="56">
        <v>4240</v>
      </c>
      <c r="B850" s="56">
        <v>1503</v>
      </c>
      <c r="C850" s="4">
        <v>44010</v>
      </c>
      <c r="D850" s="160" t="s">
        <v>1398</v>
      </c>
      <c r="E850" s="80">
        <v>-53.292466855000001</v>
      </c>
      <c r="F850" s="80">
        <v>6.0000000000000001E-3</v>
      </c>
      <c r="G850" s="80">
        <v>-187.99225575100002</v>
      </c>
      <c r="H850" s="80">
        <v>6.6000000000000003E-2</v>
      </c>
      <c r="I850" s="80">
        <v>3.8784673450282803</v>
      </c>
      <c r="J850" s="80">
        <v>0.15185831636462022</v>
      </c>
      <c r="K850" s="80">
        <v>8.6304245657988776</v>
      </c>
      <c r="L850" s="80">
        <v>0.93922414156564782</v>
      </c>
      <c r="N850" s="56">
        <v>20</v>
      </c>
      <c r="O850" s="56">
        <v>23</v>
      </c>
    </row>
    <row r="851" spans="1:15" x14ac:dyDescent="0.2">
      <c r="A851" s="56">
        <v>4242</v>
      </c>
      <c r="B851" s="56">
        <v>1504</v>
      </c>
      <c r="C851" s="4">
        <v>44011</v>
      </c>
      <c r="D851" s="160" t="s">
        <v>1399</v>
      </c>
      <c r="E851" s="80">
        <v>-53.169155623000002</v>
      </c>
      <c r="F851" s="80">
        <v>1.7000000000000001E-2</v>
      </c>
      <c r="G851" s="80">
        <v>-187.58673690200001</v>
      </c>
      <c r="H851" s="80">
        <v>2.5000000000000001E-2</v>
      </c>
      <c r="I851" s="80">
        <v>5.4478720310846551</v>
      </c>
      <c r="J851" s="80">
        <v>0.1396893899528644</v>
      </c>
      <c r="K851" s="80">
        <v>10.801214491666933</v>
      </c>
      <c r="L851" s="80">
        <v>0.65679853876636274</v>
      </c>
      <c r="N851" s="56">
        <v>20</v>
      </c>
      <c r="O851" s="56">
        <v>40</v>
      </c>
    </row>
    <row r="852" spans="1:15" x14ac:dyDescent="0.2">
      <c r="A852" s="56">
        <v>4244</v>
      </c>
      <c r="B852" s="56">
        <v>1505</v>
      </c>
      <c r="C852" s="4">
        <v>44013</v>
      </c>
      <c r="D852" s="160" t="s">
        <v>1400</v>
      </c>
      <c r="E852" s="80">
        <v>-52.341621652000001</v>
      </c>
      <c r="F852" s="80">
        <v>5.0000000000000001E-3</v>
      </c>
      <c r="G852" s="80">
        <v>-400.09272696299996</v>
      </c>
      <c r="H852" s="80">
        <v>3.1E-2</v>
      </c>
      <c r="I852" s="80">
        <v>0.22075615622973999</v>
      </c>
      <c r="J852" s="80">
        <v>0.17287372398626999</v>
      </c>
      <c r="K852" s="80">
        <v>-27.527193987142873</v>
      </c>
      <c r="L852" s="80">
        <v>0.99604738083373801</v>
      </c>
      <c r="N852" s="56">
        <v>16</v>
      </c>
      <c r="O852" s="56">
        <v>29</v>
      </c>
    </row>
    <row r="853" spans="1:15" x14ac:dyDescent="0.2">
      <c r="A853" s="56">
        <v>4246</v>
      </c>
      <c r="B853" s="56">
        <v>1506</v>
      </c>
      <c r="C853" s="4">
        <v>44014</v>
      </c>
      <c r="D853" s="160" t="s">
        <v>1401</v>
      </c>
      <c r="E853" s="80">
        <v>-55.279897102000007</v>
      </c>
      <c r="F853" s="80">
        <v>4.0000000000000001E-3</v>
      </c>
      <c r="G853" s="80">
        <v>-433.30293302600001</v>
      </c>
      <c r="H853" s="80">
        <v>3.9E-2</v>
      </c>
      <c r="I853" s="80">
        <v>0.81588912973051819</v>
      </c>
      <c r="J853" s="80">
        <v>0.16719229538303915</v>
      </c>
      <c r="K853" s="80">
        <v>-39.901672447061998</v>
      </c>
      <c r="L853" s="80">
        <v>1.0866889690353683</v>
      </c>
      <c r="N853" s="56">
        <v>16</v>
      </c>
      <c r="O853" s="56">
        <v>29</v>
      </c>
    </row>
    <row r="854" spans="1:15" x14ac:dyDescent="0.2">
      <c r="A854" s="56">
        <v>4251</v>
      </c>
      <c r="B854" s="56">
        <v>1507</v>
      </c>
      <c r="C854" s="4">
        <v>44017</v>
      </c>
      <c r="D854" s="160" t="s">
        <v>1402</v>
      </c>
      <c r="E854" s="80">
        <v>-51.228930456999997</v>
      </c>
      <c r="F854" s="80">
        <v>5.0000000000000001E-3</v>
      </c>
      <c r="G854" s="80">
        <v>-185.92420370899998</v>
      </c>
      <c r="H854" s="80">
        <v>0.04</v>
      </c>
      <c r="I854" s="80">
        <v>4.2541481683704419</v>
      </c>
      <c r="J854" s="80">
        <v>0.12739850689570154</v>
      </c>
      <c r="K854" s="80">
        <v>6.321823723045128</v>
      </c>
      <c r="L854" s="80">
        <v>1.2975708368065297</v>
      </c>
      <c r="N854" s="56">
        <v>20</v>
      </c>
      <c r="O854" s="56">
        <v>28</v>
      </c>
    </row>
    <row r="855" spans="1:15" x14ac:dyDescent="0.2">
      <c r="A855" s="56">
        <v>4254</v>
      </c>
      <c r="B855" s="56">
        <v>1508</v>
      </c>
      <c r="C855" s="4">
        <v>44018</v>
      </c>
      <c r="D855" s="160" t="s">
        <v>1403</v>
      </c>
      <c r="E855" s="80">
        <v>-81.488350746999998</v>
      </c>
      <c r="F855" s="80">
        <v>2.3E-2</v>
      </c>
      <c r="G855" s="80">
        <v>-171.60778884500002</v>
      </c>
      <c r="H855" s="80">
        <v>2.5000000000000001E-2</v>
      </c>
      <c r="I855" s="80">
        <v>8.3261667001948148</v>
      </c>
      <c r="J855" s="80">
        <v>0.16514953250902087</v>
      </c>
      <c r="K855" s="80">
        <v>29.368530535930581</v>
      </c>
      <c r="L855" s="80">
        <v>0.64056688021513286</v>
      </c>
      <c r="N855" s="56">
        <v>20</v>
      </c>
      <c r="O855" s="56">
        <v>39</v>
      </c>
    </row>
    <row r="856" spans="1:15" x14ac:dyDescent="0.2">
      <c r="A856" s="56">
        <v>4258</v>
      </c>
      <c r="B856" s="56">
        <v>1509</v>
      </c>
      <c r="C856" s="4">
        <v>44023</v>
      </c>
      <c r="D856" s="160" t="s">
        <v>1404</v>
      </c>
      <c r="E856" s="80">
        <v>-52.465896252999997</v>
      </c>
      <c r="F856" s="80">
        <v>1.7000000000000001E-2</v>
      </c>
      <c r="G856" s="80">
        <v>-183.92389495500001</v>
      </c>
      <c r="H856" s="80">
        <v>0.03</v>
      </c>
      <c r="I856" s="80">
        <v>4.3710498427138589</v>
      </c>
      <c r="J856" s="80">
        <v>0.17549163349294286</v>
      </c>
      <c r="K856" s="80">
        <v>7.3499642027534673</v>
      </c>
      <c r="L856" s="80">
        <v>0.74486416655808485</v>
      </c>
      <c r="N856" s="56">
        <v>15</v>
      </c>
      <c r="O856" s="56">
        <v>30</v>
      </c>
    </row>
    <row r="857" spans="1:15" x14ac:dyDescent="0.2">
      <c r="A857" s="56">
        <v>4260</v>
      </c>
      <c r="B857" s="56">
        <v>1511</v>
      </c>
      <c r="C857" s="4">
        <v>44024</v>
      </c>
      <c r="D857" s="160" t="s">
        <v>1405</v>
      </c>
      <c r="E857" s="80">
        <v>-55.644050584000006</v>
      </c>
      <c r="F857" s="80">
        <v>4.7E-2</v>
      </c>
      <c r="G857" s="80">
        <v>-184.47807268600002</v>
      </c>
      <c r="H857" s="80">
        <v>4.2999999999999997E-2</v>
      </c>
      <c r="I857" s="80">
        <v>2.6419044672316705</v>
      </c>
      <c r="J857" s="80">
        <v>0.29424350295223278</v>
      </c>
      <c r="K857" s="80">
        <v>2.079112500834146</v>
      </c>
      <c r="L857" s="80">
        <v>1.1678419128602862</v>
      </c>
      <c r="N857" s="56">
        <v>6</v>
      </c>
      <c r="O857" s="56">
        <v>17</v>
      </c>
    </row>
    <row r="858" spans="1:15" x14ac:dyDescent="0.2">
      <c r="A858" s="56">
        <v>4262</v>
      </c>
      <c r="B858" s="56">
        <v>1512</v>
      </c>
      <c r="C858" s="4">
        <v>44025</v>
      </c>
      <c r="D858" s="160" t="s">
        <v>1406</v>
      </c>
      <c r="E858" s="80">
        <v>-45.277236774999999</v>
      </c>
      <c r="F858" s="80">
        <v>7.0000000000000001E-3</v>
      </c>
      <c r="G858" s="80">
        <v>-149.433152573</v>
      </c>
      <c r="H858" s="80">
        <v>2.3E-2</v>
      </c>
      <c r="I858" s="80">
        <v>4.2825101787231645</v>
      </c>
      <c r="J858" s="80">
        <v>0.11907456570620273</v>
      </c>
      <c r="K858" s="80">
        <v>19.645632068630459</v>
      </c>
      <c r="L858" s="80">
        <v>0.60347075868205458</v>
      </c>
      <c r="N858" s="56">
        <v>20</v>
      </c>
      <c r="O858" s="56">
        <v>40</v>
      </c>
    </row>
    <row r="859" spans="1:15" x14ac:dyDescent="0.2">
      <c r="A859" s="56">
        <v>4264</v>
      </c>
      <c r="B859" s="56">
        <v>1513</v>
      </c>
      <c r="C859" s="4">
        <v>44027</v>
      </c>
      <c r="D859" s="160" t="s">
        <v>1407</v>
      </c>
      <c r="E859" s="80">
        <v>-81.025933627000001</v>
      </c>
      <c r="F859" s="80">
        <v>2.1999999999999999E-2</v>
      </c>
      <c r="G859" s="80">
        <v>-172.96077284700002</v>
      </c>
      <c r="H859" s="80">
        <v>2.3E-2</v>
      </c>
      <c r="I859" s="80">
        <v>7.4078874906629011</v>
      </c>
      <c r="J859" s="80">
        <v>0.13005988177836758</v>
      </c>
      <c r="K859" s="80">
        <v>24.821262824305634</v>
      </c>
      <c r="L859" s="80">
        <v>0.61108176471800935</v>
      </c>
      <c r="N859" s="56">
        <v>20</v>
      </c>
      <c r="O859" s="56">
        <v>40</v>
      </c>
    </row>
    <row r="860" spans="1:15" x14ac:dyDescent="0.2">
      <c r="A860" s="56">
        <v>4267</v>
      </c>
      <c r="B860" s="56">
        <v>1515</v>
      </c>
      <c r="C860" s="4">
        <v>44028</v>
      </c>
      <c r="D860" s="160" t="s">
        <v>1408</v>
      </c>
      <c r="E860" s="80">
        <v>-58.964783527000002</v>
      </c>
      <c r="F860" s="80">
        <v>0.03</v>
      </c>
      <c r="G860" s="80">
        <v>-177.53344478699998</v>
      </c>
      <c r="H860" s="80">
        <v>2.7E-2</v>
      </c>
      <c r="I860" s="80">
        <v>3.8852814739043229</v>
      </c>
      <c r="J860" s="80">
        <v>0.1640367963124644</v>
      </c>
      <c r="K860" s="80">
        <v>8.6846928262940271</v>
      </c>
      <c r="L860" s="80">
        <v>0.65040586825343361</v>
      </c>
      <c r="N860" s="56">
        <v>20</v>
      </c>
      <c r="O860" s="56">
        <v>40</v>
      </c>
    </row>
    <row r="861" spans="1:15" x14ac:dyDescent="0.2">
      <c r="A861" s="56">
        <v>4269</v>
      </c>
      <c r="B861" s="56">
        <v>1516</v>
      </c>
      <c r="C861" s="4">
        <v>44029</v>
      </c>
      <c r="D861" s="160" t="s">
        <v>1409</v>
      </c>
      <c r="E861" s="80">
        <v>-57.514913182000001</v>
      </c>
      <c r="F861" s="80">
        <v>3.5999999999999997E-2</v>
      </c>
      <c r="G861" s="80">
        <v>-195.53716445200001</v>
      </c>
      <c r="H861" s="80">
        <v>8.4000000000000005E-2</v>
      </c>
      <c r="I861" s="80">
        <v>2.1377609889599025</v>
      </c>
      <c r="J861" s="80">
        <v>0.28880105234259423</v>
      </c>
      <c r="K861" s="80">
        <v>0.92543252218790784</v>
      </c>
      <c r="L861" s="80">
        <v>1.6639532710992169</v>
      </c>
      <c r="M861" s="160" t="s">
        <v>1410</v>
      </c>
      <c r="N861" s="56">
        <v>4</v>
      </c>
      <c r="O861" s="56">
        <v>7</v>
      </c>
    </row>
    <row r="862" spans="1:15" x14ac:dyDescent="0.2">
      <c r="A862" s="56">
        <v>4272</v>
      </c>
      <c r="B862" s="56">
        <v>1517</v>
      </c>
      <c r="C862" s="4">
        <v>44030</v>
      </c>
      <c r="D862" s="160" t="s">
        <v>1411</v>
      </c>
      <c r="E862" s="80">
        <v>-44.493054409000003</v>
      </c>
      <c r="F862" s="80">
        <v>3.3000000000000002E-2</v>
      </c>
      <c r="G862" s="80">
        <v>-146.788341704</v>
      </c>
      <c r="H862" s="80">
        <v>3.2000000000000001E-2</v>
      </c>
      <c r="I862" s="80">
        <v>4.532647450577354</v>
      </c>
      <c r="J862" s="80">
        <v>0.13890735567094079</v>
      </c>
      <c r="K862" s="80">
        <v>19.644871228392535</v>
      </c>
      <c r="L862" s="80">
        <v>0.58525901901750454</v>
      </c>
      <c r="N862" s="56">
        <v>20</v>
      </c>
      <c r="O862" s="56">
        <v>40</v>
      </c>
    </row>
    <row r="863" spans="1:15" x14ac:dyDescent="0.2">
      <c r="A863" s="56">
        <v>4274</v>
      </c>
      <c r="B863" s="56">
        <v>1518</v>
      </c>
      <c r="C863" s="4">
        <v>44032</v>
      </c>
      <c r="D863" s="160" t="s">
        <v>1412</v>
      </c>
      <c r="E863" s="80">
        <v>-44.893815912999997</v>
      </c>
      <c r="F863" s="80">
        <v>1.2999999999999999E-2</v>
      </c>
      <c r="G863" s="80">
        <v>-49.723500548000004</v>
      </c>
      <c r="H863" s="80">
        <v>2.3E-2</v>
      </c>
      <c r="I863" s="80">
        <v>12.909635377544415</v>
      </c>
      <c r="J863" s="80">
        <v>0.12471194180724331</v>
      </c>
      <c r="K863" s="80">
        <v>58.012578211747098</v>
      </c>
      <c r="L863" s="80">
        <v>0.52757594535458852</v>
      </c>
      <c r="N863" s="56">
        <v>20</v>
      </c>
      <c r="O863" s="56">
        <v>40</v>
      </c>
    </row>
    <row r="864" spans="1:15" x14ac:dyDescent="0.2">
      <c r="A864" s="56">
        <v>4276</v>
      </c>
      <c r="B864" s="56">
        <v>1519</v>
      </c>
      <c r="C864" s="4">
        <v>44033</v>
      </c>
      <c r="D864" s="160" t="s">
        <v>1413</v>
      </c>
      <c r="E864" s="80">
        <v>-41.107775742999998</v>
      </c>
      <c r="F864" s="80">
        <v>0.03</v>
      </c>
      <c r="G864" s="80">
        <v>-169.12010476900002</v>
      </c>
      <c r="H864" s="80">
        <v>3.1E-2</v>
      </c>
      <c r="I864" s="80">
        <v>3.1307838417229394</v>
      </c>
      <c r="J864" s="80">
        <v>0.15067348554102547</v>
      </c>
      <c r="K864" s="80">
        <v>7.0383298583340803</v>
      </c>
      <c r="L864" s="80">
        <v>0.7102424627429057</v>
      </c>
      <c r="N864" s="56">
        <v>16</v>
      </c>
      <c r="O864" s="56">
        <v>35</v>
      </c>
    </row>
    <row r="865" spans="1:15" x14ac:dyDescent="0.2">
      <c r="A865" s="56">
        <v>4279</v>
      </c>
      <c r="B865" s="56">
        <v>1520</v>
      </c>
      <c r="C865" s="4">
        <v>44034</v>
      </c>
      <c r="D865" s="160" t="s">
        <v>1414</v>
      </c>
      <c r="E865" s="80">
        <v>-41.098142053000004</v>
      </c>
      <c r="F865" s="80">
        <v>0.04</v>
      </c>
      <c r="G865" s="80">
        <v>-168.93192896899998</v>
      </c>
      <c r="H865" s="80">
        <v>3.2000000000000001E-2</v>
      </c>
      <c r="I865" s="80">
        <v>2.4954808392396721</v>
      </c>
      <c r="J865" s="80">
        <v>0.13741042072364362</v>
      </c>
      <c r="K865" s="80">
        <v>7.7221173024191181</v>
      </c>
      <c r="L865" s="80">
        <v>0.79069664329830003</v>
      </c>
      <c r="N865" s="56">
        <v>20</v>
      </c>
      <c r="O865" s="56">
        <v>31</v>
      </c>
    </row>
    <row r="866" spans="1:15" x14ac:dyDescent="0.2">
      <c r="A866" s="56">
        <v>4281</v>
      </c>
      <c r="B866" s="56">
        <v>1521</v>
      </c>
      <c r="C866" s="4">
        <v>44035</v>
      </c>
      <c r="D866" s="160" t="s">
        <v>1415</v>
      </c>
      <c r="E866" s="80">
        <v>-35.813099719</v>
      </c>
      <c r="F866" s="80">
        <v>2.1000000000000001E-2</v>
      </c>
      <c r="G866" s="80">
        <v>-120.81819954599999</v>
      </c>
      <c r="H866" s="80">
        <v>3.2000000000000001E-2</v>
      </c>
      <c r="I866" s="80">
        <v>1.3289085033938441</v>
      </c>
      <c r="J866" s="80">
        <v>0.15087865571245801</v>
      </c>
      <c r="K866" s="80">
        <v>4.1552855648918641</v>
      </c>
      <c r="L866" s="80">
        <v>0.86044862478782624</v>
      </c>
      <c r="N866" s="56">
        <v>20</v>
      </c>
      <c r="O866" s="56">
        <v>27</v>
      </c>
    </row>
    <row r="867" spans="1:15" x14ac:dyDescent="0.2">
      <c r="A867" s="56">
        <v>4283</v>
      </c>
      <c r="B867" s="56">
        <v>1522</v>
      </c>
      <c r="C867" s="4">
        <v>44037</v>
      </c>
      <c r="D867" s="160" t="s">
        <v>1416</v>
      </c>
      <c r="E867" s="80">
        <v>-78.846792949000005</v>
      </c>
      <c r="F867" s="80">
        <v>6.0000000000000001E-3</v>
      </c>
      <c r="G867" s="80">
        <v>-169.78154270600001</v>
      </c>
      <c r="H867" s="80">
        <v>0.03</v>
      </c>
      <c r="I867" s="80">
        <v>7.3842884006178888</v>
      </c>
      <c r="J867" s="80">
        <v>0.12808958482322072</v>
      </c>
      <c r="K867" s="80">
        <v>22.058892704170276</v>
      </c>
      <c r="L867" s="80">
        <v>0.60718043096157792</v>
      </c>
      <c r="N867" s="56">
        <v>20</v>
      </c>
      <c r="O867" s="56">
        <v>40</v>
      </c>
    </row>
    <row r="868" spans="1:15" x14ac:dyDescent="0.2">
      <c r="A868" s="56">
        <v>4285</v>
      </c>
      <c r="B868" s="56">
        <v>1523</v>
      </c>
      <c r="C868" s="4">
        <v>44039</v>
      </c>
      <c r="D868" s="160" t="s">
        <v>1417</v>
      </c>
      <c r="E868" s="80">
        <v>-81.257142187000014</v>
      </c>
      <c r="F868" s="80">
        <v>1.2999999999999999E-2</v>
      </c>
      <c r="G868" s="80">
        <v>-157.49742648200001</v>
      </c>
      <c r="H868" s="80">
        <v>3.5000000000000003E-2</v>
      </c>
      <c r="I868" s="80">
        <v>8.9216762682715611</v>
      </c>
      <c r="J868" s="80">
        <v>0.13429936830386469</v>
      </c>
      <c r="K868" s="80">
        <v>27.904103095466315</v>
      </c>
      <c r="L868" s="80">
        <v>0.56028342192323077</v>
      </c>
      <c r="N868" s="56">
        <v>20</v>
      </c>
      <c r="O868" s="56">
        <v>40</v>
      </c>
    </row>
    <row r="869" spans="1:15" x14ac:dyDescent="0.2">
      <c r="A869" s="56">
        <v>4287</v>
      </c>
      <c r="B869" s="56">
        <v>1524</v>
      </c>
      <c r="C869" s="4">
        <v>44039</v>
      </c>
      <c r="D869" s="160" t="s">
        <v>1418</v>
      </c>
      <c r="E869" s="80">
        <v>-85.855302424000001</v>
      </c>
      <c r="F869" s="80">
        <v>5.0000000000000001E-3</v>
      </c>
      <c r="G869" s="80">
        <v>-143.34660632200001</v>
      </c>
      <c r="H869" s="80">
        <v>3.6999999999999998E-2</v>
      </c>
      <c r="I869" s="80">
        <v>11.403529896255371</v>
      </c>
      <c r="J869" s="80">
        <v>0.13169711795690711</v>
      </c>
      <c r="K869" s="80">
        <v>42.664757662183916</v>
      </c>
      <c r="L869" s="80">
        <v>0.72000617460974536</v>
      </c>
      <c r="N869" s="56">
        <v>20</v>
      </c>
      <c r="O869" s="56">
        <v>31</v>
      </c>
    </row>
    <row r="870" spans="1:15" x14ac:dyDescent="0.2">
      <c r="A870" s="56">
        <v>4290</v>
      </c>
      <c r="B870" s="56">
        <v>1525</v>
      </c>
      <c r="C870" s="4">
        <v>44041</v>
      </c>
      <c r="D870" s="160" t="s">
        <v>1419</v>
      </c>
      <c r="E870" s="80">
        <v>-82.033617600999989</v>
      </c>
      <c r="F870" s="80">
        <v>1.7999999999999999E-2</v>
      </c>
      <c r="G870" s="80">
        <v>-173.70783077300001</v>
      </c>
      <c r="H870" s="80">
        <v>3.2000000000000001E-2</v>
      </c>
      <c r="I870" s="80">
        <v>8.0345878683030225</v>
      </c>
      <c r="J870" s="80">
        <v>0.13325480315687088</v>
      </c>
      <c r="K870" s="80">
        <v>22.081377999331188</v>
      </c>
      <c r="L870" s="80">
        <v>0.60842469814087485</v>
      </c>
      <c r="N870" s="56">
        <v>20</v>
      </c>
      <c r="O870" s="56">
        <v>40</v>
      </c>
    </row>
    <row r="871" spans="1:15" x14ac:dyDescent="0.2">
      <c r="A871" s="56">
        <v>4292</v>
      </c>
      <c r="B871" s="56">
        <v>1516</v>
      </c>
      <c r="C871" s="4">
        <v>44043</v>
      </c>
      <c r="D871" s="160" t="s">
        <v>1420</v>
      </c>
      <c r="E871" s="80">
        <v>-45.401511376000002</v>
      </c>
      <c r="F871" s="80">
        <v>4.0000000000000001E-3</v>
      </c>
      <c r="G871" s="80">
        <v>-150.228195328</v>
      </c>
      <c r="H871" s="80">
        <v>2.1000000000000001E-2</v>
      </c>
      <c r="I871" s="80">
        <v>4.2422964402626384</v>
      </c>
      <c r="J871" s="80">
        <v>0.10767474690752665</v>
      </c>
      <c r="K871" s="80">
        <v>19.10346601600321</v>
      </c>
      <c r="L871" s="80">
        <v>0.59255085485104386</v>
      </c>
      <c r="N871" s="56">
        <v>20</v>
      </c>
      <c r="O871" s="56">
        <v>40</v>
      </c>
    </row>
    <row r="872" spans="1:15" x14ac:dyDescent="0.2">
      <c r="A872" s="56">
        <v>4294</v>
      </c>
      <c r="B872" s="56">
        <v>1527</v>
      </c>
      <c r="C872" s="4">
        <v>44045</v>
      </c>
      <c r="D872" s="160" t="s">
        <v>1421</v>
      </c>
      <c r="E872" s="80">
        <v>-84.489245181999991</v>
      </c>
      <c r="F872" s="80">
        <v>4.0000000000000001E-3</v>
      </c>
      <c r="G872" s="80">
        <v>-88.666482357999996</v>
      </c>
      <c r="H872" s="80">
        <v>2.1000000000000001E-2</v>
      </c>
      <c r="I872" s="80">
        <v>16.174345140384183</v>
      </c>
      <c r="J872" s="80">
        <v>0.12479652137446087</v>
      </c>
      <c r="K872" s="80">
        <v>78.212737646746746</v>
      </c>
      <c r="L872" s="80">
        <v>0.5516386094487018</v>
      </c>
      <c r="N872" s="56">
        <v>20</v>
      </c>
      <c r="O872" s="56">
        <v>40</v>
      </c>
    </row>
    <row r="873" spans="1:15" x14ac:dyDescent="0.2">
      <c r="A873" s="56">
        <v>4296</v>
      </c>
      <c r="B873" s="56">
        <v>1528</v>
      </c>
      <c r="C873" s="4">
        <v>44046</v>
      </c>
      <c r="D873" s="160" t="s">
        <v>1422</v>
      </c>
      <c r="E873" s="80">
        <v>-50.069997550000004</v>
      </c>
      <c r="F873" s="80">
        <v>7.0000000000000001E-3</v>
      </c>
      <c r="G873" s="80">
        <v>-342.56926666099997</v>
      </c>
      <c r="H873" s="80">
        <v>2.8000000000000001E-2</v>
      </c>
      <c r="I873" s="80">
        <v>3.98669622411707</v>
      </c>
      <c r="J873" s="80">
        <v>0.14659398305414537</v>
      </c>
      <c r="K873" s="80">
        <v>-14.12936831870093</v>
      </c>
      <c r="L873" s="80">
        <v>0.81822747656669415</v>
      </c>
      <c r="N873" s="56">
        <v>19</v>
      </c>
      <c r="O873" s="56">
        <v>35</v>
      </c>
    </row>
    <row r="874" spans="1:15" x14ac:dyDescent="0.2">
      <c r="A874" s="56">
        <v>4299</v>
      </c>
      <c r="B874" s="56">
        <v>1530</v>
      </c>
      <c r="C874" s="4">
        <v>44048</v>
      </c>
      <c r="D874" s="160" t="s">
        <v>1423</v>
      </c>
      <c r="E874" s="80">
        <v>-65.959805836000001</v>
      </c>
      <c r="F874" s="80">
        <v>4.0000000000000001E-3</v>
      </c>
      <c r="G874" s="80">
        <v>-363.71269954899998</v>
      </c>
      <c r="H874" s="80">
        <v>2.7E-2</v>
      </c>
      <c r="I874" s="80">
        <v>2.5785963440925208</v>
      </c>
      <c r="J874" s="80">
        <v>0.12702781234926688</v>
      </c>
      <c r="K874" s="80">
        <v>-10.360199839430816</v>
      </c>
      <c r="L874" s="80">
        <v>0.79712963677342796</v>
      </c>
      <c r="N874" s="56">
        <v>20</v>
      </c>
      <c r="O874" s="56">
        <v>40</v>
      </c>
    </row>
    <row r="875" spans="1:15" x14ac:dyDescent="0.2">
      <c r="A875" s="56">
        <v>4301</v>
      </c>
      <c r="B875" s="56">
        <v>1531</v>
      </c>
      <c r="C875" s="4">
        <v>44050</v>
      </c>
      <c r="D875" s="160" t="s">
        <v>1425</v>
      </c>
      <c r="E875" s="80">
        <v>-74.931661333000008</v>
      </c>
      <c r="F875" s="80">
        <v>6.0000000000000001E-3</v>
      </c>
      <c r="G875" s="80">
        <v>-71.393825676000006</v>
      </c>
      <c r="H875" s="80">
        <v>2.3E-2</v>
      </c>
      <c r="I875" s="80">
        <v>13.948813619388156</v>
      </c>
      <c r="J875" s="80">
        <v>0.11861831339653275</v>
      </c>
      <c r="K875" s="80">
        <v>57.77739349066313</v>
      </c>
      <c r="L875" s="80">
        <v>0.58634508645861005</v>
      </c>
      <c r="N875" s="56">
        <v>20</v>
      </c>
      <c r="O875" s="56">
        <v>40</v>
      </c>
    </row>
    <row r="876" spans="1:15" x14ac:dyDescent="0.2">
      <c r="A876" s="56">
        <v>4303</v>
      </c>
      <c r="B876" s="56">
        <v>1532</v>
      </c>
      <c r="C876" s="4">
        <v>44051</v>
      </c>
      <c r="D876" s="160" t="s">
        <v>1424</v>
      </c>
      <c r="E876" s="80">
        <v>-76.085777394999994</v>
      </c>
      <c r="F876" s="80">
        <v>6.0000000000000001E-3</v>
      </c>
      <c r="G876" s="80">
        <v>-156.29968751500002</v>
      </c>
      <c r="H876" s="80">
        <v>3.2000000000000001E-2</v>
      </c>
      <c r="I876" s="80">
        <v>7.0816813479113172</v>
      </c>
      <c r="J876" s="80">
        <v>0.1725091578554844</v>
      </c>
      <c r="K876" s="80">
        <v>22.44536569161837</v>
      </c>
      <c r="L876" s="80">
        <v>0.77824109897513838</v>
      </c>
      <c r="N876" s="56">
        <v>15</v>
      </c>
      <c r="O876" s="56">
        <v>40</v>
      </c>
    </row>
    <row r="877" spans="1:15" x14ac:dyDescent="0.2">
      <c r="A877" s="56">
        <v>4305</v>
      </c>
      <c r="B877" s="56">
        <v>1533</v>
      </c>
      <c r="C877" s="4">
        <v>44052</v>
      </c>
      <c r="D877" s="160" t="s">
        <v>1426</v>
      </c>
      <c r="E877" s="80">
        <v>-30.751558993</v>
      </c>
      <c r="F877" s="80">
        <v>5.0000000000000001E-3</v>
      </c>
      <c r="G877" s="80">
        <v>-81.770780166999998</v>
      </c>
      <c r="H877" s="80">
        <v>3.1E-2</v>
      </c>
      <c r="I877" s="80">
        <v>5.1966236083611506E-2</v>
      </c>
      <c r="J877" s="80">
        <v>0.14318440846572111</v>
      </c>
      <c r="K877" s="80">
        <v>-4.5948258927751562</v>
      </c>
      <c r="L877" s="80">
        <v>0.62239046457405522</v>
      </c>
      <c r="N877" s="56">
        <v>20</v>
      </c>
      <c r="O877" s="56">
        <v>40</v>
      </c>
    </row>
    <row r="878" spans="1:15" x14ac:dyDescent="0.2">
      <c r="A878" s="56">
        <v>4307</v>
      </c>
      <c r="B878" s="56">
        <v>1534</v>
      </c>
      <c r="C878" s="4">
        <v>44054</v>
      </c>
      <c r="D878" s="160" t="s">
        <v>1427</v>
      </c>
      <c r="E878" s="80">
        <v>-27.158192623000001</v>
      </c>
      <c r="F878" s="80">
        <v>1.4E-2</v>
      </c>
      <c r="G878" s="80">
        <v>-52.897085414999999</v>
      </c>
      <c r="H878" s="80">
        <v>2.7E-2</v>
      </c>
      <c r="I878" s="80">
        <v>-0.41314679077519845</v>
      </c>
      <c r="J878" s="80">
        <v>0.17381363643188408</v>
      </c>
      <c r="K878" s="80">
        <v>-7.8691690990404517</v>
      </c>
      <c r="L878" s="80">
        <v>0.57741879090872383</v>
      </c>
      <c r="N878" s="56">
        <v>17</v>
      </c>
      <c r="O878" s="56">
        <v>40</v>
      </c>
    </row>
    <row r="879" spans="1:15" x14ac:dyDescent="0.2">
      <c r="A879" s="56">
        <v>4309</v>
      </c>
      <c r="B879" s="56">
        <v>1535</v>
      </c>
      <c r="C879" s="4">
        <v>44056</v>
      </c>
      <c r="D879" s="160" t="s">
        <v>1428</v>
      </c>
      <c r="E879" s="80">
        <v>-76.671505746999998</v>
      </c>
      <c r="F879" s="80">
        <v>1.2999999999999999E-2</v>
      </c>
      <c r="G879" s="80">
        <v>-165.07714770600001</v>
      </c>
      <c r="H879" s="80">
        <v>2.5999999999999999E-2</v>
      </c>
      <c r="I879" s="80">
        <v>7.3034912382308192</v>
      </c>
      <c r="J879" s="80">
        <v>0.19786938307018301</v>
      </c>
      <c r="K879" s="80">
        <v>25.17308423729969</v>
      </c>
      <c r="L879" s="80">
        <v>0.6839559212642522</v>
      </c>
      <c r="N879" s="56">
        <v>20</v>
      </c>
      <c r="O879" s="56">
        <v>40</v>
      </c>
    </row>
    <row r="880" spans="1:15" x14ac:dyDescent="0.2">
      <c r="A880" s="56">
        <v>4311</v>
      </c>
      <c r="B880" s="56">
        <v>1536</v>
      </c>
      <c r="C880" s="4">
        <v>44057</v>
      </c>
      <c r="D880" s="160" t="s">
        <v>1429</v>
      </c>
      <c r="E880" s="80">
        <v>-38.148306175000002</v>
      </c>
      <c r="F880" s="80">
        <v>1.0999999999999999E-2</v>
      </c>
      <c r="G880" s="80">
        <v>-146.563471623</v>
      </c>
      <c r="H880" s="80">
        <v>3.3000000000000002E-2</v>
      </c>
      <c r="I880" s="80">
        <v>2.7867742401217477</v>
      </c>
      <c r="J880" s="80">
        <v>0.15493326631962304</v>
      </c>
      <c r="K880" s="80">
        <v>1.5134474814508803</v>
      </c>
      <c r="L880" s="80">
        <v>0.71126970417807178</v>
      </c>
      <c r="N880" s="56">
        <v>20</v>
      </c>
      <c r="O880" s="56">
        <v>40</v>
      </c>
    </row>
    <row r="881" spans="1:24" x14ac:dyDescent="0.2">
      <c r="A881" s="56">
        <v>4313</v>
      </c>
      <c r="B881" s="56">
        <v>1537</v>
      </c>
      <c r="C881" s="4">
        <v>44058</v>
      </c>
      <c r="D881" s="160" t="s">
        <v>1430</v>
      </c>
      <c r="E881" s="80">
        <v>-31.212049374999999</v>
      </c>
      <c r="F881" s="80">
        <v>3.6999999999999998E-2</v>
      </c>
      <c r="G881" s="80">
        <v>-93.634323477999999</v>
      </c>
      <c r="H881" s="80">
        <v>9.9000000000000005E-2</v>
      </c>
      <c r="I881" s="80">
        <v>0.8211259100920909</v>
      </c>
      <c r="J881" s="80">
        <v>0.18530742545963988</v>
      </c>
      <c r="K881" s="80">
        <v>-2.8935892363739502</v>
      </c>
      <c r="L881" s="80">
        <v>1.1605911538113018</v>
      </c>
      <c r="N881" s="56">
        <v>20</v>
      </c>
      <c r="O881" s="56">
        <v>17</v>
      </c>
    </row>
    <row r="882" spans="1:24" x14ac:dyDescent="0.2">
      <c r="A882" s="56">
        <v>4317</v>
      </c>
      <c r="B882" s="56">
        <v>1538</v>
      </c>
      <c r="C882" s="4">
        <v>44072</v>
      </c>
      <c r="D882" s="160" t="s">
        <v>1431</v>
      </c>
      <c r="E882" s="80">
        <v>-24.629348998000001</v>
      </c>
      <c r="F882" s="80">
        <v>6.0000000000000001E-3</v>
      </c>
      <c r="G882" s="80">
        <v>-22.203730676999999</v>
      </c>
      <c r="H882" s="80">
        <v>2.8000000000000001E-2</v>
      </c>
      <c r="I882" s="80">
        <v>1.7004891942495881</v>
      </c>
      <c r="J882" s="80">
        <v>0.12753268527907957</v>
      </c>
      <c r="K882" s="80">
        <v>-5.7508321683600316</v>
      </c>
      <c r="L882" s="80">
        <v>0.64388669054928371</v>
      </c>
      <c r="N882" s="56">
        <v>20</v>
      </c>
      <c r="O882" s="56">
        <v>37</v>
      </c>
    </row>
    <row r="883" spans="1:24" x14ac:dyDescent="0.2">
      <c r="A883" s="56">
        <v>4319</v>
      </c>
      <c r="B883" s="56">
        <v>1539</v>
      </c>
      <c r="C883" s="4">
        <v>44073</v>
      </c>
      <c r="D883" s="160" t="s">
        <v>1432</v>
      </c>
      <c r="E883" s="80">
        <v>-34.780368150999998</v>
      </c>
      <c r="F883" s="80">
        <v>5.0000000000000001E-3</v>
      </c>
      <c r="G883" s="80">
        <v>-118.82071342900001</v>
      </c>
      <c r="H883" s="80">
        <v>2.8000000000000001E-2</v>
      </c>
      <c r="I883" s="80">
        <v>2.0984050960510814</v>
      </c>
      <c r="J883" s="80">
        <v>0.11800615082187856</v>
      </c>
      <c r="K883" s="80">
        <v>2.9604074563078786</v>
      </c>
      <c r="L883" s="80">
        <v>0.78550668742052487</v>
      </c>
      <c r="N883" s="56">
        <v>20</v>
      </c>
      <c r="O883" s="56">
        <v>37</v>
      </c>
    </row>
    <row r="884" spans="1:24" x14ac:dyDescent="0.2">
      <c r="A884" s="56">
        <v>4468</v>
      </c>
      <c r="B884" s="56">
        <v>1540</v>
      </c>
      <c r="C884" s="4">
        <v>44251</v>
      </c>
      <c r="D884" s="160" t="s">
        <v>1433</v>
      </c>
      <c r="E884" s="80">
        <v>-36.156059082999995</v>
      </c>
      <c r="F884" s="80">
        <v>1.4999999999999999E-2</v>
      </c>
      <c r="G884" s="80">
        <v>-58.849085969000001</v>
      </c>
      <c r="H884" s="80">
        <v>5.6000000000000001E-2</v>
      </c>
      <c r="I884" s="80">
        <v>-0.26984106442762279</v>
      </c>
      <c r="J884" s="80">
        <v>0.39694401931159218</v>
      </c>
      <c r="K884" s="80">
        <v>-2.3436537866707852</v>
      </c>
      <c r="L884" s="80">
        <v>1.5627732778576711</v>
      </c>
      <c r="N884" s="56">
        <v>4</v>
      </c>
      <c r="O884" s="56">
        <v>8</v>
      </c>
    </row>
    <row r="885" spans="1:24" s="39" customFormat="1" x14ac:dyDescent="0.2">
      <c r="A885" s="66">
        <v>4470</v>
      </c>
      <c r="B885" s="66">
        <v>1541</v>
      </c>
      <c r="C885" s="199">
        <v>44252</v>
      </c>
      <c r="D885" s="179" t="s">
        <v>824</v>
      </c>
      <c r="E885" s="192">
        <v>-25.690018266999999</v>
      </c>
      <c r="F885" s="192">
        <v>5.0000000000000001E-3</v>
      </c>
      <c r="G885" s="192">
        <v>-153.982302538</v>
      </c>
      <c r="H885" s="192">
        <v>2.1000000000000001E-2</v>
      </c>
      <c r="I885" s="192">
        <v>3.1649854890416496</v>
      </c>
      <c r="J885" s="192">
        <v>0.13627640746275332</v>
      </c>
      <c r="K885" s="192">
        <v>9.9943517605993737</v>
      </c>
      <c r="L885" s="192">
        <v>0.73749756131919042</v>
      </c>
      <c r="M885" s="179"/>
      <c r="N885" s="66">
        <v>15</v>
      </c>
      <c r="O885" s="66">
        <v>25</v>
      </c>
      <c r="P885" s="192"/>
      <c r="Q885" s="192"/>
      <c r="R885" s="192"/>
      <c r="S885" s="192"/>
      <c r="T885" s="192"/>
      <c r="U885" s="192"/>
      <c r="V885" s="179"/>
      <c r="W885" s="128"/>
      <c r="X885" s="128"/>
    </row>
    <row r="886" spans="1:24" s="39" customFormat="1" x14ac:dyDescent="0.2">
      <c r="A886" s="66">
        <v>4473</v>
      </c>
      <c r="B886" s="66">
        <v>1542</v>
      </c>
      <c r="C886" s="199">
        <v>44252</v>
      </c>
      <c r="D886" s="179" t="s">
        <v>1434</v>
      </c>
      <c r="E886" s="192">
        <v>-26.029124154999998</v>
      </c>
      <c r="F886" s="192">
        <v>5.0000000000000001E-3</v>
      </c>
      <c r="G886" s="192">
        <v>-153.01978332100001</v>
      </c>
      <c r="H886" s="192">
        <v>4.8000000000000001E-2</v>
      </c>
      <c r="I886" s="200">
        <v>2.5804180986115366</v>
      </c>
      <c r="J886" s="192">
        <v>0.16812448282952219</v>
      </c>
      <c r="K886" s="200">
        <v>8.2278305731768864</v>
      </c>
      <c r="L886" s="192">
        <v>1.1323862456846467</v>
      </c>
      <c r="M886" s="179" t="s">
        <v>1437</v>
      </c>
      <c r="N886" s="66">
        <v>15</v>
      </c>
      <c r="O886" s="66">
        <v>20</v>
      </c>
      <c r="P886" s="192"/>
      <c r="Q886" s="192"/>
      <c r="R886" s="192"/>
      <c r="S886" s="192"/>
      <c r="T886" s="192"/>
      <c r="U886" s="192"/>
      <c r="V886" s="179"/>
      <c r="W886" s="128"/>
      <c r="X886" s="128"/>
    </row>
    <row r="887" spans="1:24" s="39" customFormat="1" x14ac:dyDescent="0.2">
      <c r="A887" s="66">
        <v>4476</v>
      </c>
      <c r="B887" s="66">
        <v>1543</v>
      </c>
      <c r="C887" s="199">
        <v>44254</v>
      </c>
      <c r="D887" s="179" t="s">
        <v>1435</v>
      </c>
      <c r="E887" s="192">
        <v>-25.41738484</v>
      </c>
      <c r="F887" s="192">
        <v>1.0999999999999999E-2</v>
      </c>
      <c r="G887" s="192">
        <v>-153.38672613099999</v>
      </c>
      <c r="H887" s="192">
        <v>4.9000000000000002E-2</v>
      </c>
      <c r="I887" s="192">
        <v>3.209291965254879</v>
      </c>
      <c r="J887" s="192">
        <v>0.46692599598688389</v>
      </c>
      <c r="K887" s="192">
        <v>10.189198552646994</v>
      </c>
      <c r="L887" s="192">
        <v>1.5639709412656446</v>
      </c>
      <c r="M887" s="179" t="s">
        <v>1436</v>
      </c>
      <c r="N887" s="66">
        <v>11</v>
      </c>
      <c r="O887" s="66">
        <v>3</v>
      </c>
      <c r="P887" s="192"/>
      <c r="Q887" s="192"/>
      <c r="R887" s="192"/>
      <c r="S887" s="192"/>
      <c r="T887" s="192"/>
      <c r="U887" s="192"/>
      <c r="V887" s="179"/>
      <c r="W887" s="128"/>
      <c r="X887" s="128"/>
    </row>
    <row r="888" spans="1:24" s="39" customFormat="1" x14ac:dyDescent="0.2">
      <c r="A888" s="66">
        <v>4478</v>
      </c>
      <c r="B888" s="66">
        <v>1544</v>
      </c>
      <c r="C888" s="199">
        <v>44256</v>
      </c>
      <c r="D888" s="179" t="s">
        <v>1438</v>
      </c>
      <c r="E888" s="192">
        <v>-25.866314794000001</v>
      </c>
      <c r="F888" s="192">
        <v>1.2E-2</v>
      </c>
      <c r="G888" s="192">
        <v>-153.10916682600001</v>
      </c>
      <c r="H888" s="192">
        <v>7.4999999999999997E-2</v>
      </c>
      <c r="I888" s="200">
        <v>2.4758027584870224</v>
      </c>
      <c r="J888" s="192">
        <v>0.29575545015281585</v>
      </c>
      <c r="K888" s="192">
        <v>9.0400198236082474</v>
      </c>
      <c r="L888" s="192">
        <v>2.1667698714031851</v>
      </c>
      <c r="M888" s="179" t="s">
        <v>1439</v>
      </c>
      <c r="N888" s="66">
        <v>6</v>
      </c>
      <c r="O888" s="66">
        <v>7</v>
      </c>
      <c r="P888" s="192"/>
      <c r="Q888" s="192"/>
      <c r="R888" s="192"/>
      <c r="S888" s="192"/>
      <c r="T888" s="192"/>
      <c r="U888" s="192"/>
      <c r="V888" s="179"/>
      <c r="W888" s="128"/>
      <c r="X888" s="128"/>
    </row>
    <row r="889" spans="1:24" s="39" customFormat="1" x14ac:dyDescent="0.2">
      <c r="A889" s="66">
        <v>4480</v>
      </c>
      <c r="B889" s="66">
        <v>1545</v>
      </c>
      <c r="C889" s="199">
        <v>44257</v>
      </c>
      <c r="D889" s="179" t="s">
        <v>1440</v>
      </c>
      <c r="E889" s="192">
        <v>-25.528172275000003</v>
      </c>
      <c r="F889" s="192">
        <v>1.2E-2</v>
      </c>
      <c r="G889" s="192">
        <v>-153.637940824</v>
      </c>
      <c r="H889" s="192">
        <v>6.5000000000000002E-2</v>
      </c>
      <c r="I889" s="192">
        <v>3.5727937138472221</v>
      </c>
      <c r="J889" s="192">
        <v>0.23384658591399662</v>
      </c>
      <c r="K889" s="192">
        <v>7.9847800332668584</v>
      </c>
      <c r="L889" s="192">
        <v>1.0607724368109237</v>
      </c>
      <c r="M889" s="179"/>
      <c r="N889" s="66">
        <v>12</v>
      </c>
      <c r="O889" s="66">
        <v>28</v>
      </c>
      <c r="P889" s="192"/>
      <c r="Q889" s="192"/>
      <c r="R889" s="192"/>
      <c r="S889" s="192"/>
      <c r="T889" s="192"/>
      <c r="U889" s="192"/>
      <c r="V889" s="179"/>
      <c r="W889" s="128"/>
      <c r="X889" s="128"/>
    </row>
    <row r="890" spans="1:24" s="39" customFormat="1" x14ac:dyDescent="0.2">
      <c r="A890" s="66">
        <v>4482</v>
      </c>
      <c r="B890" s="66">
        <v>1546</v>
      </c>
      <c r="C890" s="199">
        <v>44258</v>
      </c>
      <c r="D890" s="179" t="s">
        <v>1441</v>
      </c>
      <c r="E890" s="194">
        <v>-27.425045836000002</v>
      </c>
      <c r="F890" s="192">
        <v>0.02</v>
      </c>
      <c r="G890" s="194">
        <v>-156.015542057</v>
      </c>
      <c r="H890" s="192">
        <v>0.113</v>
      </c>
      <c r="I890" s="192">
        <v>3.2987148038636782</v>
      </c>
      <c r="J890" s="192">
        <v>0.22083183576328375</v>
      </c>
      <c r="K890" s="194">
        <v>13.303198067915911</v>
      </c>
      <c r="L890" s="192">
        <v>1.5905345065701262</v>
      </c>
      <c r="M890" s="179" t="s">
        <v>1442</v>
      </c>
      <c r="N890" s="66">
        <v>11</v>
      </c>
      <c r="O890" s="66">
        <v>14</v>
      </c>
      <c r="P890" s="192"/>
      <c r="Q890" s="192"/>
      <c r="R890" s="192"/>
      <c r="S890" s="192"/>
      <c r="T890" s="192"/>
      <c r="U890" s="192"/>
      <c r="V890" s="179"/>
      <c r="W890" s="128"/>
      <c r="X890" s="128"/>
    </row>
    <row r="891" spans="1:24" x14ac:dyDescent="0.2">
      <c r="A891" s="56">
        <v>4484</v>
      </c>
      <c r="B891" s="56">
        <v>0</v>
      </c>
      <c r="C891" s="4">
        <v>44261</v>
      </c>
      <c r="D891" s="160" t="s">
        <v>1443</v>
      </c>
      <c r="E891" s="80">
        <v>-36.220604805999997</v>
      </c>
      <c r="F891" s="80">
        <v>1.4999999999999999E-2</v>
      </c>
      <c r="G891" s="80">
        <v>-58.960109691</v>
      </c>
      <c r="H891" s="80">
        <v>4.8000000000000001E-2</v>
      </c>
      <c r="I891" s="80">
        <v>7.7970809965410837E-2</v>
      </c>
      <c r="J891" s="80">
        <v>0.20998735252065764</v>
      </c>
      <c r="K891" s="80">
        <v>0.55861259327061319</v>
      </c>
      <c r="L891" s="80">
        <v>0.96295117419723752</v>
      </c>
      <c r="M891" s="160" t="s">
        <v>1444</v>
      </c>
      <c r="N891" s="56">
        <v>10</v>
      </c>
      <c r="O891" s="56">
        <v>28</v>
      </c>
    </row>
    <row r="892" spans="1:24" x14ac:dyDescent="0.2">
      <c r="A892" s="56">
        <v>4492</v>
      </c>
      <c r="B892" s="56">
        <v>0</v>
      </c>
      <c r="C892" s="4">
        <v>44262</v>
      </c>
      <c r="D892" s="160" t="s">
        <v>1445</v>
      </c>
      <c r="E892" s="80">
        <v>-36.642560428000003</v>
      </c>
      <c r="F892" s="80">
        <v>1.0999999999999999E-2</v>
      </c>
      <c r="G892" s="80">
        <v>-58.898011677</v>
      </c>
      <c r="H892" s="80">
        <v>9.7000000000000003E-2</v>
      </c>
      <c r="I892" s="80">
        <v>-1.4995677744056302</v>
      </c>
      <c r="J892" s="80">
        <v>0.37577451065067413</v>
      </c>
      <c r="K892" s="80">
        <v>0.15892642782056043</v>
      </c>
      <c r="L892" s="80">
        <v>2.5348685662835049</v>
      </c>
      <c r="M892" s="160" t="s">
        <v>1446</v>
      </c>
      <c r="N892" s="56">
        <v>4</v>
      </c>
      <c r="O892" s="56">
        <v>5</v>
      </c>
    </row>
    <row r="893" spans="1:24" s="39" customFormat="1" x14ac:dyDescent="0.2">
      <c r="A893" s="66">
        <v>4494</v>
      </c>
      <c r="B893" s="66">
        <v>1548</v>
      </c>
      <c r="C893" s="199">
        <v>44263</v>
      </c>
      <c r="D893" s="179" t="s">
        <v>1447</v>
      </c>
      <c r="E893" s="200">
        <v>-24.767110765000002</v>
      </c>
      <c r="F893" s="192">
        <v>6.0000000000000001E-3</v>
      </c>
      <c r="G893" s="200">
        <v>-152.579451949</v>
      </c>
      <c r="H893" s="192">
        <v>7.0000000000000007E-2</v>
      </c>
      <c r="I893" s="200">
        <v>2.8115160858552812</v>
      </c>
      <c r="J893" s="192">
        <v>0.18810647869761501</v>
      </c>
      <c r="K893" s="200">
        <v>13.38685808602591</v>
      </c>
      <c r="L893" s="192">
        <v>1.163919175404434</v>
      </c>
      <c r="M893" s="179" t="s">
        <v>1448</v>
      </c>
      <c r="N893" s="66">
        <v>11</v>
      </c>
      <c r="O893" s="66">
        <v>21</v>
      </c>
      <c r="P893" s="192"/>
      <c r="Q893" s="192"/>
      <c r="R893" s="192"/>
      <c r="S893" s="192"/>
      <c r="T893" s="192"/>
      <c r="U893" s="192"/>
      <c r="V893" s="179"/>
      <c r="W893" s="128"/>
      <c r="X893" s="128"/>
    </row>
    <row r="894" spans="1:24" x14ac:dyDescent="0.2">
      <c r="A894" s="56">
        <v>4496</v>
      </c>
      <c r="B894" s="56">
        <v>1549</v>
      </c>
      <c r="C894" s="4">
        <v>44264</v>
      </c>
      <c r="D894" s="160" t="s">
        <v>1449</v>
      </c>
      <c r="E894" s="80">
        <v>-60.304829806000001</v>
      </c>
      <c r="F894" s="80">
        <v>5.0000000000000001E-3</v>
      </c>
      <c r="G894" s="80">
        <v>-339.63372418099999</v>
      </c>
      <c r="H894" s="80">
        <v>0.05</v>
      </c>
      <c r="I894" s="80">
        <v>-0.69249264207504879</v>
      </c>
      <c r="J894" s="80">
        <v>0.13942885371856439</v>
      </c>
      <c r="K894" s="80">
        <v>-25.402182842978572</v>
      </c>
      <c r="L894" s="80">
        <v>0.86316809330864186</v>
      </c>
      <c r="N894" s="56">
        <v>20</v>
      </c>
      <c r="O894" s="56">
        <v>34</v>
      </c>
    </row>
    <row r="895" spans="1:24" ht="13.5" customHeight="1" x14ac:dyDescent="0.2">
      <c r="A895" s="56">
        <v>4498</v>
      </c>
      <c r="B895" s="56">
        <v>1550</v>
      </c>
      <c r="C895" s="4">
        <v>44266</v>
      </c>
      <c r="D895" s="160" t="s">
        <v>1450</v>
      </c>
      <c r="E895" s="80">
        <v>-64.973315979999995</v>
      </c>
      <c r="F895" s="80">
        <v>8.0000000000000002E-3</v>
      </c>
      <c r="G895" s="80">
        <v>-341.68766303799998</v>
      </c>
      <c r="H895" s="80">
        <v>3.9E-2</v>
      </c>
      <c r="I895" s="80">
        <v>0.56827080344090675</v>
      </c>
      <c r="J895" s="80">
        <v>0.12268930262999217</v>
      </c>
      <c r="K895" s="80">
        <v>-26.554630086541575</v>
      </c>
      <c r="L895" s="80">
        <v>0.74035449255211883</v>
      </c>
      <c r="N895" s="56">
        <v>20</v>
      </c>
      <c r="O895" s="56">
        <v>40</v>
      </c>
    </row>
    <row r="896" spans="1:24" x14ac:dyDescent="0.2">
      <c r="A896" s="56">
        <v>4501</v>
      </c>
      <c r="B896" s="56">
        <v>1551</v>
      </c>
      <c r="C896" s="4">
        <v>44267</v>
      </c>
      <c r="D896" s="160" t="s">
        <v>1453</v>
      </c>
      <c r="E896" s="80">
        <v>-63.621709272999993</v>
      </c>
      <c r="F896" s="80">
        <v>6.0000000000000001E-3</v>
      </c>
      <c r="G896" s="80">
        <v>-335.57477217499996</v>
      </c>
      <c r="H896" s="80">
        <v>2.7E-2</v>
      </c>
      <c r="I896" s="80">
        <v>-3.0415898939023522</v>
      </c>
      <c r="J896" s="80">
        <v>0.11177712365714684</v>
      </c>
      <c r="K896" s="80">
        <v>-26.331737608787932</v>
      </c>
      <c r="L896" s="80">
        <v>0.85794612648485147</v>
      </c>
      <c r="N896" s="56">
        <v>20</v>
      </c>
      <c r="O896" s="56">
        <v>40</v>
      </c>
    </row>
    <row r="897" spans="1:24" x14ac:dyDescent="0.2">
      <c r="A897" s="56">
        <v>4503</v>
      </c>
      <c r="B897" s="56">
        <v>1553</v>
      </c>
      <c r="C897" s="4">
        <v>44269</v>
      </c>
      <c r="D897" s="160" t="s">
        <v>1451</v>
      </c>
      <c r="E897" s="80">
        <v>-62.747933590000002</v>
      </c>
      <c r="F897" s="80">
        <v>8.0000000000000002E-3</v>
      </c>
      <c r="G897" s="80">
        <v>-336.78286081099998</v>
      </c>
      <c r="H897" s="80">
        <v>3.1E-2</v>
      </c>
      <c r="I897" s="103">
        <v>16.478955476495472</v>
      </c>
      <c r="J897" s="80">
        <v>0.13339590613758909</v>
      </c>
      <c r="K897" s="80">
        <v>-26.063114600860303</v>
      </c>
      <c r="L897" s="80">
        <v>0.76116768291439296</v>
      </c>
      <c r="M897" s="160" t="s">
        <v>1452</v>
      </c>
      <c r="N897" s="56">
        <v>19</v>
      </c>
      <c r="O897" s="56">
        <v>40</v>
      </c>
    </row>
    <row r="898" spans="1:24" x14ac:dyDescent="0.2">
      <c r="A898" s="56">
        <v>4508</v>
      </c>
      <c r="B898" s="56">
        <v>1554</v>
      </c>
      <c r="C898" s="4">
        <v>44271</v>
      </c>
      <c r="D898" s="160" t="s">
        <v>1454</v>
      </c>
      <c r="E898" s="80">
        <v>-61.928106571000001</v>
      </c>
      <c r="F898" s="80">
        <v>7.0000000000000001E-3</v>
      </c>
      <c r="G898" s="80">
        <v>-341.58228458999997</v>
      </c>
      <c r="H898" s="80">
        <v>1.7000000000000001E-2</v>
      </c>
      <c r="I898" s="111">
        <v>-0.70564051664501193</v>
      </c>
      <c r="J898" s="80">
        <v>0.10580098947695589</v>
      </c>
      <c r="K898" s="80">
        <v>-26.174530411975596</v>
      </c>
      <c r="L898" s="80">
        <v>0.65386760469397687</v>
      </c>
      <c r="N898" s="56">
        <v>20</v>
      </c>
      <c r="O898" s="56">
        <v>40</v>
      </c>
    </row>
    <row r="899" spans="1:24" x14ac:dyDescent="0.2">
      <c r="A899" s="56">
        <v>4510</v>
      </c>
      <c r="B899" s="56">
        <v>1555</v>
      </c>
      <c r="C899" s="4">
        <v>44273</v>
      </c>
      <c r="D899" s="160" t="s">
        <v>1455</v>
      </c>
      <c r="E899" s="80">
        <v>-63.044651242000008</v>
      </c>
      <c r="F899" s="80">
        <v>8.0000000000000002E-3</v>
      </c>
      <c r="G899" s="80">
        <v>-336.93622408799996</v>
      </c>
      <c r="H899" s="80">
        <v>0.02</v>
      </c>
      <c r="I899" s="111">
        <v>6.0133800976200913</v>
      </c>
      <c r="J899" s="80">
        <v>0.13320891823063141</v>
      </c>
      <c r="K899" s="80">
        <v>-26.081286497367408</v>
      </c>
      <c r="L899" s="80">
        <v>0.69892856719285723</v>
      </c>
      <c r="N899" s="56">
        <v>20</v>
      </c>
      <c r="O899" s="56">
        <v>40</v>
      </c>
    </row>
    <row r="900" spans="1:24" x14ac:dyDescent="0.2">
      <c r="A900" s="56">
        <v>4512</v>
      </c>
      <c r="B900" s="56">
        <v>1556</v>
      </c>
      <c r="C900" s="4">
        <v>44276</v>
      </c>
      <c r="D900" s="160" t="s">
        <v>1456</v>
      </c>
      <c r="E900" s="80">
        <v>-56.095870644999998</v>
      </c>
      <c r="F900" s="80">
        <v>1.2E-2</v>
      </c>
      <c r="G900" s="80">
        <v>-432.01204703799999</v>
      </c>
      <c r="H900" s="80">
        <v>3.9E-2</v>
      </c>
      <c r="I900" s="111">
        <v>2.0267358992591689</v>
      </c>
      <c r="J900" s="80">
        <v>0.28170235376733616</v>
      </c>
      <c r="K900" s="80">
        <v>-8.7883257610333878</v>
      </c>
      <c r="L900" s="80">
        <v>1.5197213088946402</v>
      </c>
      <c r="N900" s="56">
        <v>7</v>
      </c>
      <c r="O900" s="56">
        <v>18</v>
      </c>
    </row>
    <row r="901" spans="1:24" x14ac:dyDescent="0.2">
      <c r="A901" s="56">
        <v>4514</v>
      </c>
      <c r="B901" s="56">
        <v>1557</v>
      </c>
      <c r="C901" s="4">
        <v>44278</v>
      </c>
      <c r="D901" s="160" t="s">
        <v>1457</v>
      </c>
      <c r="E901" s="80">
        <v>-55.947511818999999</v>
      </c>
      <c r="F901" s="80">
        <v>3.5000000000000003E-2</v>
      </c>
      <c r="G901" s="80">
        <v>-433.64917649799997</v>
      </c>
      <c r="H901" s="80">
        <v>0.106</v>
      </c>
      <c r="I901" s="111">
        <v>2.6106175124767095</v>
      </c>
      <c r="J901" s="80">
        <v>0.78386385614290521</v>
      </c>
      <c r="K901" s="80">
        <v>-2.8206441272866645</v>
      </c>
      <c r="L901" s="80">
        <v>4.3071460860081103</v>
      </c>
      <c r="M901" s="160" t="s">
        <v>1458</v>
      </c>
      <c r="N901" s="56">
        <v>3</v>
      </c>
      <c r="O901" s="56">
        <v>5</v>
      </c>
    </row>
    <row r="902" spans="1:24" x14ac:dyDescent="0.2">
      <c r="A902" s="56">
        <v>4516</v>
      </c>
      <c r="B902" s="56">
        <v>1558</v>
      </c>
      <c r="C902" s="4">
        <v>44278</v>
      </c>
      <c r="D902" s="160" t="s">
        <v>1459</v>
      </c>
      <c r="E902" s="80">
        <v>-45.040248001000002</v>
      </c>
      <c r="F902" s="80">
        <v>5.0000000000000001E-3</v>
      </c>
      <c r="G902" s="80">
        <v>-171.82795453099999</v>
      </c>
      <c r="H902" s="80">
        <v>1.4E-2</v>
      </c>
      <c r="I902" s="80">
        <v>3.6349171252703094</v>
      </c>
      <c r="J902" s="80">
        <v>0.109026698829817</v>
      </c>
      <c r="K902" s="80">
        <v>11.29122442937236</v>
      </c>
      <c r="L902" s="80">
        <v>0.53828870798649764</v>
      </c>
      <c r="N902" s="56">
        <v>20</v>
      </c>
      <c r="O902" s="56">
        <v>40</v>
      </c>
    </row>
    <row r="903" spans="1:24" x14ac:dyDescent="0.2">
      <c r="A903" s="56">
        <v>4519</v>
      </c>
      <c r="B903" s="56">
        <v>1559</v>
      </c>
      <c r="C903" s="4">
        <v>44280</v>
      </c>
      <c r="D903" s="160" t="s">
        <v>1460</v>
      </c>
      <c r="E903" s="80">
        <v>-45.020980621000007</v>
      </c>
      <c r="F903" s="80">
        <v>4.0000000000000001E-3</v>
      </c>
      <c r="G903" s="80">
        <v>-171.97567253400001</v>
      </c>
      <c r="H903" s="80">
        <v>1.4E-2</v>
      </c>
      <c r="I903" s="80">
        <v>3.0291451185229246</v>
      </c>
      <c r="J903" s="80">
        <v>0.10786715286726606</v>
      </c>
      <c r="K903" s="80">
        <v>10.390383669147019</v>
      </c>
      <c r="L903" s="80">
        <v>0.53130353934238395</v>
      </c>
      <c r="N903" s="56">
        <v>20</v>
      </c>
      <c r="O903" s="56">
        <v>40</v>
      </c>
    </row>
    <row r="904" spans="1:24" x14ac:dyDescent="0.2">
      <c r="A904" s="56">
        <v>4521</v>
      </c>
      <c r="B904" s="56">
        <v>1560</v>
      </c>
      <c r="C904" s="4">
        <v>44281</v>
      </c>
      <c r="D904" s="160" t="s">
        <v>1461</v>
      </c>
      <c r="E904" s="80">
        <v>-43.744516695999998</v>
      </c>
      <c r="F904" s="80">
        <v>3.0000000000000001E-3</v>
      </c>
      <c r="G904" s="80">
        <v>-164.73749038699998</v>
      </c>
      <c r="H904" s="80">
        <v>1.4E-2</v>
      </c>
      <c r="I904" s="80">
        <v>2.2870397602949843</v>
      </c>
      <c r="J904" s="80">
        <v>9.6674393931626884E-2</v>
      </c>
      <c r="K904" s="80">
        <v>8.4448578845228717</v>
      </c>
      <c r="L904" s="80">
        <v>0.53948002184797106</v>
      </c>
      <c r="N904" s="56">
        <v>20</v>
      </c>
      <c r="O904" s="56">
        <v>40</v>
      </c>
    </row>
    <row r="905" spans="1:24" x14ac:dyDescent="0.2">
      <c r="A905" s="56">
        <v>4523</v>
      </c>
      <c r="B905" s="56">
        <v>1561</v>
      </c>
      <c r="C905" s="4">
        <v>44283</v>
      </c>
      <c r="D905" s="160" t="s">
        <v>1462</v>
      </c>
      <c r="E905" s="80">
        <v>-40.098165031000001</v>
      </c>
      <c r="F905" s="80">
        <v>4.0000000000000001E-3</v>
      </c>
      <c r="G905" s="80">
        <v>-251.383037497</v>
      </c>
      <c r="H905" s="80">
        <v>1.7999999999999999E-2</v>
      </c>
      <c r="I905" s="80">
        <v>-1.6059039332768643</v>
      </c>
      <c r="J905" s="80">
        <v>0.10348344333319713</v>
      </c>
      <c r="K905" s="80">
        <v>-41.018014426162594</v>
      </c>
      <c r="L905" s="80">
        <v>0.6471548699712153</v>
      </c>
      <c r="N905" s="56">
        <v>20</v>
      </c>
      <c r="O905" s="56">
        <v>40</v>
      </c>
    </row>
    <row r="906" spans="1:24" x14ac:dyDescent="0.2">
      <c r="A906" s="56">
        <v>4525</v>
      </c>
      <c r="B906" s="56">
        <v>1562</v>
      </c>
      <c r="C906" s="4">
        <v>44285</v>
      </c>
      <c r="D906" s="160" t="s">
        <v>1463</v>
      </c>
      <c r="E906" s="80">
        <v>-59.197918824999995</v>
      </c>
      <c r="F906" s="80">
        <v>3.0000000000000001E-3</v>
      </c>
      <c r="G906" s="80">
        <v>-274.436454755</v>
      </c>
      <c r="H906" s="80">
        <v>2.1999999999999999E-2</v>
      </c>
      <c r="I906" s="80">
        <v>6.6122403244521788</v>
      </c>
      <c r="J906" s="80">
        <v>0.12423931106826165</v>
      </c>
      <c r="K906" s="80">
        <v>-33.666815955451177</v>
      </c>
      <c r="L906" s="80">
        <v>0.68784683957182069</v>
      </c>
      <c r="N906" s="56">
        <v>20</v>
      </c>
      <c r="O906" s="56">
        <v>36</v>
      </c>
    </row>
    <row r="907" spans="1:24" x14ac:dyDescent="0.2">
      <c r="A907" s="56">
        <v>4527</v>
      </c>
      <c r="B907" s="56">
        <v>1563</v>
      </c>
      <c r="C907" s="4">
        <v>44286</v>
      </c>
      <c r="D907" s="160" t="s">
        <v>1464</v>
      </c>
      <c r="E907" s="80">
        <v>-48.578702337999999</v>
      </c>
      <c r="F907" s="80">
        <v>4.0000000000000001E-3</v>
      </c>
      <c r="G907" s="80">
        <v>-264.00210664499997</v>
      </c>
      <c r="H907" s="80">
        <v>1.9E-2</v>
      </c>
      <c r="I907" s="80">
        <v>-1.2158524608080201</v>
      </c>
      <c r="J907" s="80">
        <v>0.10769432337378562</v>
      </c>
      <c r="K907" s="80">
        <v>-41.803714112167988</v>
      </c>
      <c r="L907" s="80">
        <v>0.67019631567647353</v>
      </c>
      <c r="N907" s="56">
        <v>20</v>
      </c>
      <c r="O907" s="56">
        <v>35</v>
      </c>
    </row>
    <row r="908" spans="1:24" x14ac:dyDescent="0.2">
      <c r="A908" s="56">
        <v>4529</v>
      </c>
      <c r="B908" s="56">
        <v>1564</v>
      </c>
      <c r="C908" s="4">
        <v>44288</v>
      </c>
      <c r="D908" s="160" t="s">
        <v>1465</v>
      </c>
      <c r="E908" s="80">
        <v>-61.176678750999997</v>
      </c>
      <c r="F908" s="80">
        <v>1.4E-2</v>
      </c>
      <c r="G908" s="80">
        <v>-282.00676718900002</v>
      </c>
      <c r="H908" s="80">
        <v>0.03</v>
      </c>
      <c r="I908" s="80">
        <v>-1.260540861374615</v>
      </c>
      <c r="J908" s="80">
        <v>0.13825089761995948</v>
      </c>
      <c r="K908" s="80">
        <v>-40.812862697301668</v>
      </c>
      <c r="L908" s="80">
        <v>0.80738163173195099</v>
      </c>
      <c r="N908" s="56">
        <v>16</v>
      </c>
      <c r="O908" s="56">
        <v>27</v>
      </c>
    </row>
    <row r="909" spans="1:24" x14ac:dyDescent="0.2">
      <c r="A909" s="56">
        <v>4531</v>
      </c>
      <c r="B909" s="56">
        <v>1565</v>
      </c>
      <c r="C909" s="4">
        <v>44289</v>
      </c>
      <c r="D909" s="160" t="s">
        <v>1466</v>
      </c>
      <c r="E909" s="80">
        <v>-55.656574380999999</v>
      </c>
      <c r="F909" s="80">
        <v>6.0000000000000001E-3</v>
      </c>
      <c r="G909" s="80">
        <v>-273.56802343800001</v>
      </c>
      <c r="H909" s="80">
        <v>3.4000000000000002E-2</v>
      </c>
      <c r="I909" s="80">
        <v>-1.2062399224984643</v>
      </c>
      <c r="J909" s="80">
        <v>0.11587215236639699</v>
      </c>
      <c r="K909" s="80">
        <v>-42.879950125664365</v>
      </c>
      <c r="L909" s="80">
        <v>1.0130909203006084</v>
      </c>
      <c r="N909" s="56">
        <v>16</v>
      </c>
      <c r="O909" s="56">
        <v>18</v>
      </c>
    </row>
    <row r="910" spans="1:24" x14ac:dyDescent="0.2">
      <c r="A910" s="56">
        <v>4533</v>
      </c>
      <c r="B910" s="56">
        <v>1566</v>
      </c>
      <c r="C910" s="4">
        <v>44292</v>
      </c>
      <c r="D910" s="160" t="s">
        <v>1467</v>
      </c>
      <c r="E910" s="80">
        <v>-61.534088650000001</v>
      </c>
      <c r="F910" s="80">
        <v>5.0000000000000001E-3</v>
      </c>
      <c r="G910" s="80">
        <v>-279.81357823999997</v>
      </c>
      <c r="H910" s="80">
        <v>2.9000000000000001E-2</v>
      </c>
      <c r="I910" s="80">
        <v>-0.76450188549692655</v>
      </c>
      <c r="J910" s="80">
        <v>0.13944577888390516</v>
      </c>
      <c r="K910" s="80">
        <v>-42.309308018489979</v>
      </c>
      <c r="L910" s="80">
        <v>0.76622923760270811</v>
      </c>
      <c r="N910" s="56">
        <v>15</v>
      </c>
      <c r="O910" s="56">
        <v>32</v>
      </c>
    </row>
    <row r="911" spans="1:24" x14ac:dyDescent="0.2">
      <c r="A911" s="56">
        <v>4535</v>
      </c>
      <c r="B911" s="56">
        <v>0</v>
      </c>
      <c r="C911" s="4">
        <v>44261</v>
      </c>
      <c r="D911" s="160" t="s">
        <v>1468</v>
      </c>
      <c r="E911" s="80">
        <v>-36.471080746000005</v>
      </c>
      <c r="F911" s="80">
        <v>8.9999999999999993E-3</v>
      </c>
      <c r="G911" s="80">
        <v>-58.941292111000003</v>
      </c>
      <c r="H911" s="80">
        <v>6.9000000000000006E-2</v>
      </c>
      <c r="I911" s="80">
        <v>5.4039450443355008E-2</v>
      </c>
      <c r="J911" s="80">
        <v>0.17901452071562482</v>
      </c>
      <c r="K911" s="80">
        <v>1.4384734980614766</v>
      </c>
      <c r="L911" s="80">
        <v>1.2920875338977562</v>
      </c>
      <c r="N911" s="56">
        <v>20</v>
      </c>
      <c r="O911" s="56">
        <v>14</v>
      </c>
    </row>
    <row r="912" spans="1:24" s="116" customFormat="1" x14ac:dyDescent="0.2">
      <c r="A912" s="112">
        <v>4537</v>
      </c>
      <c r="B912" s="112">
        <v>1567</v>
      </c>
      <c r="C912" s="198">
        <v>44263</v>
      </c>
      <c r="D912" s="175" t="s">
        <v>1469</v>
      </c>
      <c r="E912" s="188">
        <v>-26.465530312000002</v>
      </c>
      <c r="F912" s="188">
        <v>1.2E-2</v>
      </c>
      <c r="G912" s="188">
        <v>-154.326664252</v>
      </c>
      <c r="H912" s="188">
        <v>6.6000000000000003E-2</v>
      </c>
      <c r="I912" s="188">
        <v>3.1486503768842766</v>
      </c>
      <c r="J912" s="188">
        <v>0.27456472181021901</v>
      </c>
      <c r="K912" s="188">
        <v>11.347651785457602</v>
      </c>
      <c r="L912" s="188">
        <v>1.2463072392380719</v>
      </c>
      <c r="M912" s="175"/>
      <c r="N912" s="112">
        <v>9</v>
      </c>
      <c r="O912" s="112">
        <v>21</v>
      </c>
      <c r="P912" s="188"/>
      <c r="Q912" s="188"/>
      <c r="R912" s="188"/>
      <c r="S912" s="188"/>
      <c r="T912" s="188"/>
      <c r="U912" s="188"/>
      <c r="V912" s="175"/>
      <c r="W912" s="122"/>
      <c r="X912" s="122"/>
    </row>
    <row r="913" spans="1:24" x14ac:dyDescent="0.2">
      <c r="A913" s="56">
        <v>4539</v>
      </c>
      <c r="B913" s="56">
        <v>1568</v>
      </c>
      <c r="C913" s="4">
        <v>44296</v>
      </c>
      <c r="D913" s="160" t="s">
        <v>1470</v>
      </c>
      <c r="E913" s="80">
        <v>-42.380386192000003</v>
      </c>
      <c r="F913" s="80">
        <v>8.0000000000000002E-3</v>
      </c>
      <c r="G913" s="80">
        <v>-290.055987034</v>
      </c>
      <c r="H913" s="80">
        <v>0.02</v>
      </c>
      <c r="I913" s="80">
        <v>-4.4163682627963441</v>
      </c>
      <c r="J913" s="80">
        <v>0.13223227890998107</v>
      </c>
      <c r="K913" s="80">
        <v>-25.485183343197381</v>
      </c>
      <c r="L913" s="80">
        <v>0.81809317742986931</v>
      </c>
      <c r="N913" s="56">
        <v>16</v>
      </c>
      <c r="O913" s="56">
        <v>32</v>
      </c>
    </row>
    <row r="914" spans="1:24" x14ac:dyDescent="0.2">
      <c r="A914" s="56">
        <v>4541</v>
      </c>
      <c r="B914" s="56">
        <v>1569</v>
      </c>
      <c r="C914" s="4">
        <v>44297</v>
      </c>
      <c r="D914" s="160" t="s">
        <v>1471</v>
      </c>
      <c r="E914" s="80">
        <v>-45.369720199</v>
      </c>
      <c r="F914" s="80">
        <v>1.2999999999999999E-2</v>
      </c>
      <c r="G914" s="80">
        <v>-295.05111364499999</v>
      </c>
      <c r="H914" s="80">
        <v>1.7999999999999999E-2</v>
      </c>
      <c r="I914" s="80">
        <v>-3.3029510682792695</v>
      </c>
      <c r="J914" s="80">
        <v>0.18519806651312845</v>
      </c>
      <c r="K914" s="80">
        <v>-25.330793819462684</v>
      </c>
      <c r="L914" s="80">
        <v>0.69244996301380268</v>
      </c>
      <c r="M914" s="160" t="s">
        <v>1472</v>
      </c>
      <c r="N914" s="56">
        <v>13</v>
      </c>
      <c r="O914" s="56">
        <v>35</v>
      </c>
    </row>
    <row r="915" spans="1:24" x14ac:dyDescent="0.2">
      <c r="A915" s="56">
        <v>4543</v>
      </c>
      <c r="B915" s="56">
        <v>1570</v>
      </c>
      <c r="C915" s="4">
        <v>44298</v>
      </c>
      <c r="D915" s="160" t="s">
        <v>1473</v>
      </c>
      <c r="E915" s="80">
        <v>-58.419516673000004</v>
      </c>
      <c r="F915" s="80">
        <v>7.0000000000000001E-3</v>
      </c>
      <c r="G915" s="80">
        <v>-388.50297944099998</v>
      </c>
      <c r="H915" s="80">
        <v>2.7E-2</v>
      </c>
      <c r="I915" s="80">
        <v>-0.28858285869826084</v>
      </c>
      <c r="J915" s="80">
        <v>0.13879049086144404</v>
      </c>
      <c r="K915" s="80">
        <v>-20.634525978179052</v>
      </c>
      <c r="L915" s="80">
        <v>0.90292954188706431</v>
      </c>
      <c r="N915" s="56">
        <v>16</v>
      </c>
      <c r="O915" s="56">
        <v>40</v>
      </c>
    </row>
    <row r="916" spans="1:24" x14ac:dyDescent="0.2">
      <c r="A916" s="56">
        <v>4545</v>
      </c>
      <c r="B916" s="56">
        <v>1571</v>
      </c>
      <c r="C916" s="4">
        <v>44299</v>
      </c>
      <c r="D916" s="160" t="s">
        <v>1474</v>
      </c>
      <c r="E916" s="80">
        <v>-86.092291197999998</v>
      </c>
      <c r="F916" s="80">
        <v>2.4E-2</v>
      </c>
      <c r="G916" s="80">
        <v>-337.56284950199995</v>
      </c>
      <c r="H916" s="80">
        <v>3.3000000000000002E-2</v>
      </c>
      <c r="I916" s="80">
        <v>-4.8803481371660906</v>
      </c>
      <c r="J916" s="80">
        <v>0.23074939355035884</v>
      </c>
      <c r="K916" s="80">
        <v>-21.442183639320934</v>
      </c>
      <c r="L916" s="80">
        <v>1.2506176180758348</v>
      </c>
      <c r="M916" s="160" t="s">
        <v>1475</v>
      </c>
      <c r="N916" s="56">
        <v>13</v>
      </c>
      <c r="O916" s="56">
        <v>20</v>
      </c>
    </row>
    <row r="917" spans="1:24" x14ac:dyDescent="0.2">
      <c r="A917" s="56">
        <v>4547</v>
      </c>
      <c r="B917" s="56">
        <v>1572</v>
      </c>
      <c r="C917" s="4">
        <v>44300</v>
      </c>
      <c r="D917" s="160" t="s">
        <v>1476</v>
      </c>
      <c r="E917" s="80">
        <v>-93.075753079000009</v>
      </c>
      <c r="F917" s="80">
        <v>2.7E-2</v>
      </c>
      <c r="G917" s="80">
        <v>-389.33847999299996</v>
      </c>
      <c r="H917" s="80">
        <v>0.04</v>
      </c>
      <c r="I917" s="80">
        <v>-1.6432946730557951</v>
      </c>
      <c r="J917" s="80">
        <v>0.23269975853800801</v>
      </c>
      <c r="K917" s="80">
        <v>-37.459518677408489</v>
      </c>
      <c r="L917" s="80">
        <v>1.2118633781301238</v>
      </c>
      <c r="M917" s="160" t="s">
        <v>1477</v>
      </c>
      <c r="N917" s="56">
        <v>10</v>
      </c>
      <c r="O917" s="56">
        <v>30</v>
      </c>
    </row>
    <row r="918" spans="1:24" x14ac:dyDescent="0.2">
      <c r="A918" s="56">
        <v>4547</v>
      </c>
      <c r="B918" s="56">
        <v>1573</v>
      </c>
      <c r="C918" s="4">
        <v>44301</v>
      </c>
      <c r="D918" s="160" t="s">
        <v>1478</v>
      </c>
      <c r="E918" s="80">
        <v>-63.039834397</v>
      </c>
      <c r="F918" s="80">
        <v>3.2000000000000001E-2</v>
      </c>
      <c r="G918" s="80">
        <v>-281.54667735799995</v>
      </c>
      <c r="H918" s="80">
        <v>3.2000000000000001E-2</v>
      </c>
      <c r="I918" s="80">
        <v>-0.88890981213152198</v>
      </c>
      <c r="J918" s="80">
        <v>0.19717801637292498</v>
      </c>
      <c r="K918" s="80">
        <v>-41.61772027561306</v>
      </c>
      <c r="L918" s="80">
        <v>0.96789270062539545</v>
      </c>
      <c r="N918" s="56">
        <v>10</v>
      </c>
      <c r="O918" s="56">
        <v>30</v>
      </c>
    </row>
    <row r="919" spans="1:24" x14ac:dyDescent="0.2">
      <c r="A919" s="56">
        <v>4551</v>
      </c>
      <c r="B919" s="56">
        <v>1574</v>
      </c>
      <c r="C919" s="4">
        <v>44302</v>
      </c>
      <c r="D919" s="160" t="s">
        <v>1479</v>
      </c>
      <c r="E919" s="80">
        <v>-88.71458161599999</v>
      </c>
      <c r="F919" s="80">
        <v>2.8000000000000001E-2</v>
      </c>
      <c r="G919" s="80">
        <v>-375.78417711899993</v>
      </c>
      <c r="H919" s="80">
        <v>3.3000000000000002E-2</v>
      </c>
      <c r="I919" s="80">
        <v>-1.6865084495482074</v>
      </c>
      <c r="J919" s="80">
        <v>0.25055137931806121</v>
      </c>
      <c r="K919" s="80">
        <v>-36.139495169321691</v>
      </c>
      <c r="L919" s="80">
        <v>1.0814832254248061</v>
      </c>
      <c r="M919" s="160" t="s">
        <v>1480</v>
      </c>
      <c r="N919" s="56">
        <v>10</v>
      </c>
      <c r="O919" s="56">
        <v>29</v>
      </c>
    </row>
    <row r="920" spans="1:24" x14ac:dyDescent="0.2">
      <c r="A920" s="56">
        <v>4554</v>
      </c>
      <c r="B920" s="56">
        <v>1575</v>
      </c>
      <c r="C920" s="4">
        <v>44304</v>
      </c>
      <c r="D920" s="160" t="s">
        <v>1481</v>
      </c>
      <c r="E920" s="80">
        <v>-94.331986255000004</v>
      </c>
      <c r="F920" s="80">
        <v>1.4E-2</v>
      </c>
      <c r="G920" s="80">
        <v>-382.62436744899998</v>
      </c>
      <c r="H920" s="80">
        <v>4.8000000000000001E-2</v>
      </c>
      <c r="I920" s="80">
        <v>-2.3138140561911325</v>
      </c>
      <c r="J920" s="80">
        <v>0.23578306721892534</v>
      </c>
      <c r="K920" s="80">
        <v>-37.029184934302293</v>
      </c>
      <c r="L920" s="80">
        <v>1.3220206441855513</v>
      </c>
      <c r="M920" s="160" t="s">
        <v>1482</v>
      </c>
      <c r="N920" s="56">
        <v>12</v>
      </c>
      <c r="O920" s="56">
        <v>31</v>
      </c>
    </row>
    <row r="921" spans="1:24" x14ac:dyDescent="0.2">
      <c r="A921" s="56">
        <v>4556</v>
      </c>
      <c r="B921" s="56">
        <v>1576</v>
      </c>
      <c r="C921" s="4">
        <v>44305</v>
      </c>
      <c r="D921" s="160" t="s">
        <v>1483</v>
      </c>
      <c r="E921" s="80">
        <v>-58.661322291999994</v>
      </c>
      <c r="F921" s="80">
        <v>0.04</v>
      </c>
      <c r="G921" s="80">
        <v>-379.25696150800002</v>
      </c>
      <c r="H921" s="80">
        <v>2.5999999999999999E-2</v>
      </c>
      <c r="I921" s="80">
        <v>-1.1362069576106304</v>
      </c>
      <c r="J921" s="80">
        <v>0.14212613585151018</v>
      </c>
      <c r="K921" s="80">
        <v>-27.041616421497494</v>
      </c>
      <c r="L921" s="80">
        <v>0.79945278254809016</v>
      </c>
      <c r="N921" s="56">
        <v>20</v>
      </c>
      <c r="O921" s="56">
        <v>40</v>
      </c>
    </row>
    <row r="922" spans="1:24" s="116" customFormat="1" x14ac:dyDescent="0.2">
      <c r="A922" s="112">
        <v>4655</v>
      </c>
      <c r="B922" s="112">
        <v>1651</v>
      </c>
      <c r="C922" s="198">
        <v>44358</v>
      </c>
      <c r="D922" s="175" t="s">
        <v>1484</v>
      </c>
      <c r="E922" s="188">
        <v>-25.640886448</v>
      </c>
      <c r="F922" s="188">
        <v>5.0000000000000001E-3</v>
      </c>
      <c r="G922" s="188">
        <v>-153.74614190900002</v>
      </c>
      <c r="H922" s="188">
        <v>0.04</v>
      </c>
      <c r="I922" s="188">
        <v>2.7586161049570901</v>
      </c>
      <c r="J922" s="188">
        <v>0.12691792544973707</v>
      </c>
      <c r="K922" s="188">
        <v>9.6122797652489211</v>
      </c>
      <c r="L922" s="188">
        <v>0.79116737116237934</v>
      </c>
      <c r="M922" s="175"/>
      <c r="N922" s="112">
        <v>20</v>
      </c>
      <c r="O922" s="112">
        <v>40</v>
      </c>
      <c r="P922" s="188"/>
      <c r="Q922" s="188"/>
      <c r="R922" s="188"/>
      <c r="S922" s="188"/>
      <c r="T922" s="188"/>
      <c r="U922" s="188"/>
      <c r="V922" s="175"/>
      <c r="W922" s="122"/>
      <c r="X922" s="122"/>
    </row>
    <row r="923" spans="1:24" x14ac:dyDescent="0.2">
      <c r="A923" s="56">
        <v>4659</v>
      </c>
      <c r="B923" s="56">
        <v>1653</v>
      </c>
      <c r="C923" s="4">
        <v>44359</v>
      </c>
      <c r="D923" s="160" t="s">
        <v>1485</v>
      </c>
      <c r="E923" s="80">
        <v>-41.222416654</v>
      </c>
      <c r="F923" s="80">
        <v>1.6E-2</v>
      </c>
      <c r="G923" s="80">
        <v>-276.80182456099999</v>
      </c>
      <c r="H923" s="80">
        <v>2.8000000000000001E-2</v>
      </c>
      <c r="I923" s="80">
        <v>0.71720657830542933</v>
      </c>
      <c r="J923" s="80">
        <v>0.17964320070170761</v>
      </c>
      <c r="K923" s="80">
        <v>-51.552891415144408</v>
      </c>
      <c r="L923" s="80">
        <v>0.74028023915793517</v>
      </c>
      <c r="N923" s="56">
        <v>20</v>
      </c>
      <c r="O923" s="56">
        <v>40</v>
      </c>
    </row>
    <row r="924" spans="1:24" x14ac:dyDescent="0.2">
      <c r="A924" s="56">
        <v>4661</v>
      </c>
      <c r="B924" s="56">
        <v>1655</v>
      </c>
      <c r="C924" s="4">
        <v>44361</v>
      </c>
      <c r="D924" s="160" t="s">
        <v>1486</v>
      </c>
      <c r="E924" s="80">
        <v>-40.227256476999997</v>
      </c>
      <c r="F924" s="80">
        <v>1.7000000000000001E-2</v>
      </c>
      <c r="G924" s="80">
        <v>-90.583052881</v>
      </c>
      <c r="H924" s="80">
        <v>3.4000000000000002E-2</v>
      </c>
      <c r="I924" s="80">
        <v>-2.8772964589744987</v>
      </c>
      <c r="J924" s="80">
        <v>0.11482151307144652</v>
      </c>
      <c r="K924" s="80">
        <v>2.5236626632385573</v>
      </c>
      <c r="L924" s="80">
        <v>0.65935636549809351</v>
      </c>
      <c r="N924" s="56">
        <v>20</v>
      </c>
      <c r="O924" s="56">
        <v>40</v>
      </c>
    </row>
    <row r="925" spans="1:24" x14ac:dyDescent="0.2">
      <c r="A925" s="56">
        <v>4663</v>
      </c>
      <c r="B925" s="56">
        <v>1656</v>
      </c>
      <c r="C925" s="4">
        <v>44363</v>
      </c>
      <c r="D925" s="160" t="s">
        <v>1487</v>
      </c>
      <c r="E925" s="80">
        <v>-41.017219056999998</v>
      </c>
      <c r="F925" s="80">
        <v>6.0000000000000001E-3</v>
      </c>
      <c r="G925" s="80">
        <v>80.983410131999975</v>
      </c>
      <c r="H925" s="80">
        <v>5.7000000000000002E-2</v>
      </c>
      <c r="I925" s="80">
        <v>-4.7732503250862424</v>
      </c>
      <c r="J925" s="80">
        <v>0.13375288232310886</v>
      </c>
      <c r="K925" s="80">
        <v>21.215727684683159</v>
      </c>
      <c r="L925" s="80">
        <v>0.6313415068753635</v>
      </c>
      <c r="N925" s="56">
        <v>17</v>
      </c>
      <c r="O925" s="56">
        <v>40</v>
      </c>
    </row>
    <row r="926" spans="1:24" x14ac:dyDescent="0.2">
      <c r="A926" s="56">
        <v>4665</v>
      </c>
      <c r="B926" s="56">
        <v>1657</v>
      </c>
      <c r="C926" s="4">
        <v>44364</v>
      </c>
      <c r="D926" s="160" t="s">
        <v>1488</v>
      </c>
      <c r="E926" s="80">
        <v>-42.207943141000001</v>
      </c>
      <c r="F926" s="80">
        <v>2.5000000000000001E-2</v>
      </c>
      <c r="G926" s="80">
        <v>441.80486135800004</v>
      </c>
      <c r="H926" s="80">
        <v>4.2999999999999997E-2</v>
      </c>
      <c r="I926" s="80">
        <v>-6.8100360667101567</v>
      </c>
      <c r="J926" s="80">
        <v>0.11582565894665793</v>
      </c>
      <c r="K926" s="80">
        <v>27.017197947499128</v>
      </c>
      <c r="L926" s="80">
        <v>0.4852597950092451</v>
      </c>
      <c r="N926" s="56">
        <v>20</v>
      </c>
      <c r="O926" s="56">
        <v>40</v>
      </c>
    </row>
    <row r="927" spans="1:24" x14ac:dyDescent="0.2">
      <c r="A927" s="56">
        <v>4667</v>
      </c>
      <c r="B927" s="56">
        <v>1658</v>
      </c>
      <c r="C927" s="4">
        <v>44366</v>
      </c>
      <c r="D927" s="160" t="s">
        <v>1490</v>
      </c>
      <c r="E927" s="80">
        <v>-33.463999999999999</v>
      </c>
      <c r="F927" s="80">
        <v>3.3000000000000002E-2</v>
      </c>
      <c r="G927" s="80">
        <v>-102.587</v>
      </c>
      <c r="H927" s="80">
        <v>5.7000000000000002E-2</v>
      </c>
      <c r="I927" s="80">
        <v>0.309</v>
      </c>
      <c r="J927" s="80">
        <v>0.17</v>
      </c>
      <c r="K927" s="80">
        <v>-0.28599999999999998</v>
      </c>
      <c r="L927" s="80">
        <v>0.7</v>
      </c>
      <c r="N927" s="56">
        <v>17</v>
      </c>
      <c r="O927" s="56">
        <v>40</v>
      </c>
    </row>
    <row r="928" spans="1:24" x14ac:dyDescent="0.2">
      <c r="A928" s="56">
        <v>4669</v>
      </c>
      <c r="B928" s="56">
        <v>1659</v>
      </c>
      <c r="C928" s="4">
        <v>44367</v>
      </c>
      <c r="D928" s="160" t="s">
        <v>1489</v>
      </c>
      <c r="E928" s="80">
        <v>-41.381372538999997</v>
      </c>
      <c r="F928" s="80">
        <v>1.0999999999999999E-2</v>
      </c>
      <c r="G928" s="80">
        <v>-169.497397248</v>
      </c>
      <c r="H928" s="80">
        <v>5.0999999999999997E-2</v>
      </c>
      <c r="I928" s="80">
        <v>3.127203189648764</v>
      </c>
      <c r="J928" s="80">
        <v>0.19256550959380844</v>
      </c>
      <c r="K928" s="80">
        <v>8.2856604194043726</v>
      </c>
      <c r="L928" s="80">
        <v>0.65706645569076816</v>
      </c>
      <c r="N928" s="56">
        <v>20</v>
      </c>
      <c r="O928" s="56">
        <v>40</v>
      </c>
    </row>
    <row r="929" spans="1:15" ht="13.5" customHeight="1" x14ac:dyDescent="0.2">
      <c r="A929" s="56">
        <v>4671</v>
      </c>
      <c r="B929" s="56">
        <v>1660</v>
      </c>
      <c r="C929" s="4">
        <v>44369</v>
      </c>
      <c r="D929" s="160" t="s">
        <v>1491</v>
      </c>
      <c r="E929" s="80">
        <v>-26.353779508000002</v>
      </c>
      <c r="F929" s="80">
        <v>2.9000000000000001E-2</v>
      </c>
      <c r="G929" s="80">
        <v>-50.932530063000009</v>
      </c>
      <c r="H929" s="80">
        <v>6.0999999999999999E-2</v>
      </c>
      <c r="I929" s="80">
        <v>0.15717024126304935</v>
      </c>
      <c r="J929" s="80">
        <v>0.22126569479671371</v>
      </c>
      <c r="K929" s="80">
        <v>-6.2924602136734675</v>
      </c>
      <c r="L929" s="80">
        <v>0.76318348510747491</v>
      </c>
      <c r="N929" s="56">
        <v>20</v>
      </c>
      <c r="O929" s="56">
        <v>31</v>
      </c>
    </row>
    <row r="930" spans="1:15" x14ac:dyDescent="0.2">
      <c r="A930" s="56">
        <v>4673</v>
      </c>
      <c r="B930" s="56">
        <v>1661</v>
      </c>
      <c r="C930" s="4">
        <v>44370</v>
      </c>
      <c r="D930" s="160" t="s">
        <v>1492</v>
      </c>
      <c r="E930" s="80">
        <v>-42.437224962999998</v>
      </c>
      <c r="F930" s="80">
        <v>3.4000000000000002E-2</v>
      </c>
      <c r="G930" s="80">
        <v>-314.93659130999998</v>
      </c>
      <c r="H930" s="80">
        <v>4.2999999999999997E-2</v>
      </c>
      <c r="I930" s="80">
        <v>-3.5916246884207803</v>
      </c>
      <c r="J930" s="80">
        <v>0.12627019082938662</v>
      </c>
      <c r="K930" s="80">
        <v>-33.09847558652956</v>
      </c>
      <c r="L930" s="80">
        <v>0.69421595880098452</v>
      </c>
      <c r="N930" s="56">
        <v>20</v>
      </c>
      <c r="O930" s="56">
        <v>34</v>
      </c>
    </row>
    <row r="931" spans="1:15" x14ac:dyDescent="0.2">
      <c r="A931" s="56">
        <v>4678</v>
      </c>
      <c r="B931" s="56">
        <v>1662</v>
      </c>
      <c r="C931" s="4">
        <v>44372</v>
      </c>
      <c r="D931" s="160" t="s">
        <v>1493</v>
      </c>
      <c r="E931" s="80">
        <v>-44.287856812000001</v>
      </c>
      <c r="F931" s="80">
        <v>5.8000000000000003E-2</v>
      </c>
      <c r="G931" s="80">
        <v>599.11042136799995</v>
      </c>
      <c r="H931" s="80">
        <v>6.7000000000000004E-2</v>
      </c>
      <c r="I931" s="80">
        <v>-16.784546912658627</v>
      </c>
      <c r="J931" s="80">
        <v>0.12679606383109368</v>
      </c>
      <c r="K931" s="80">
        <v>283.63296532158967</v>
      </c>
      <c r="L931" s="80">
        <v>0.17294600586150952</v>
      </c>
      <c r="M931" s="160" t="s">
        <v>1496</v>
      </c>
      <c r="N931" s="56">
        <v>20</v>
      </c>
      <c r="O931" s="56">
        <v>18</v>
      </c>
    </row>
    <row r="932" spans="1:15" x14ac:dyDescent="0.2">
      <c r="A932" s="56">
        <v>4681</v>
      </c>
      <c r="B932" s="56">
        <v>1663</v>
      </c>
      <c r="C932" s="4">
        <v>44373</v>
      </c>
      <c r="D932" s="160" t="s">
        <v>1495</v>
      </c>
      <c r="E932" s="80">
        <v>-44.070135418</v>
      </c>
      <c r="F932" s="80">
        <v>2.4E-2</v>
      </c>
      <c r="G932" s="80">
        <v>-93.448029435999999</v>
      </c>
      <c r="H932" s="80">
        <v>6.7000000000000004E-2</v>
      </c>
      <c r="I932" s="80">
        <v>-8.5679313774070778</v>
      </c>
      <c r="J932" s="80">
        <v>0.13625426608904162</v>
      </c>
      <c r="K932" s="111">
        <v>49.033031488948438</v>
      </c>
      <c r="L932" s="80">
        <v>0.55352484047253059</v>
      </c>
      <c r="M932" s="160" t="s">
        <v>1494</v>
      </c>
      <c r="N932" s="56">
        <v>20</v>
      </c>
      <c r="O932" s="56">
        <v>40</v>
      </c>
    </row>
    <row r="933" spans="1:15" x14ac:dyDescent="0.2">
      <c r="A933" s="56">
        <v>4683</v>
      </c>
      <c r="B933" s="56">
        <v>1664</v>
      </c>
      <c r="C933" s="4">
        <v>44375</v>
      </c>
      <c r="D933" s="160" t="s">
        <v>1497</v>
      </c>
      <c r="E933" s="80">
        <v>-44.714629279</v>
      </c>
      <c r="F933" s="80">
        <v>7.2999999999999995E-2</v>
      </c>
      <c r="G933" s="80">
        <v>612.246033087</v>
      </c>
      <c r="H933" s="80">
        <v>0.121</v>
      </c>
      <c r="I933" s="80">
        <v>-16.502775238463997</v>
      </c>
      <c r="J933" s="80">
        <v>0.12944950164980387</v>
      </c>
      <c r="K933" s="111">
        <v>293.36413893323243</v>
      </c>
      <c r="L933" s="80">
        <v>0.40647588434956899</v>
      </c>
      <c r="N933" s="56">
        <v>20</v>
      </c>
      <c r="O933" s="56">
        <v>40</v>
      </c>
    </row>
    <row r="934" spans="1:15" x14ac:dyDescent="0.2">
      <c r="A934" s="56">
        <v>4585</v>
      </c>
      <c r="B934" s="56">
        <v>1665</v>
      </c>
      <c r="C934" s="4">
        <v>44376</v>
      </c>
      <c r="D934" s="160" t="s">
        <v>1498</v>
      </c>
      <c r="E934" s="80">
        <v>-116.232253732</v>
      </c>
      <c r="F934" s="80">
        <v>4.2000000000000003E-2</v>
      </c>
      <c r="G934" s="80">
        <v>-296.79362155299998</v>
      </c>
      <c r="H934" s="80">
        <v>3.5999999999999997E-2</v>
      </c>
      <c r="I934" s="80">
        <v>-4.8801764085694144</v>
      </c>
      <c r="J934" s="80">
        <v>0.13538759645473572</v>
      </c>
      <c r="K934" s="111">
        <v>-45.32158613894444</v>
      </c>
      <c r="L934" s="80">
        <v>0.70733457021750445</v>
      </c>
      <c r="N934" s="56">
        <v>20</v>
      </c>
      <c r="O934" s="56">
        <v>40</v>
      </c>
    </row>
    <row r="935" spans="1:15" x14ac:dyDescent="0.2">
      <c r="A935" s="56">
        <v>4588</v>
      </c>
      <c r="B935" s="56">
        <v>1666</v>
      </c>
      <c r="C935" s="4">
        <v>44378</v>
      </c>
      <c r="D935" s="160" t="s">
        <v>1499</v>
      </c>
      <c r="E935" s="80">
        <v>-55.611296037999999</v>
      </c>
      <c r="F935" s="80">
        <v>1.4999999999999999E-2</v>
      </c>
      <c r="G935" s="80">
        <v>-273.55955552699999</v>
      </c>
      <c r="H935" s="80">
        <v>5.7000000000000002E-2</v>
      </c>
      <c r="I935" s="80">
        <v>-1.6383529265734387</v>
      </c>
      <c r="J935" s="80">
        <v>0.12868651233094439</v>
      </c>
      <c r="K935" s="111">
        <v>-42.417867771416759</v>
      </c>
      <c r="L935" s="80">
        <v>0.64974079212070401</v>
      </c>
      <c r="N935" s="56">
        <v>20</v>
      </c>
      <c r="O935" s="56">
        <v>34</v>
      </c>
    </row>
    <row r="936" spans="1:15" x14ac:dyDescent="0.2">
      <c r="A936" s="56">
        <v>4590</v>
      </c>
      <c r="B936" s="56">
        <v>1667</v>
      </c>
      <c r="C936" s="4">
        <v>44380</v>
      </c>
      <c r="D936" s="160" t="s">
        <v>1500</v>
      </c>
      <c r="E936" s="80">
        <v>-47.136538944999998</v>
      </c>
      <c r="F936" s="80">
        <v>8.0000000000000002E-3</v>
      </c>
      <c r="G936" s="80">
        <v>-253.70889038499999</v>
      </c>
      <c r="H936" s="80">
        <v>6.0999999999999999E-2</v>
      </c>
      <c r="I936" s="80">
        <v>-3.9463207984337112</v>
      </c>
      <c r="J936" s="80">
        <v>0.1445890252491995</v>
      </c>
      <c r="K936" s="111">
        <v>-46.662738736496735</v>
      </c>
      <c r="L936" s="80">
        <v>0.58876424970492258</v>
      </c>
      <c r="N936" s="56">
        <v>18</v>
      </c>
      <c r="O936" s="56">
        <v>40</v>
      </c>
    </row>
    <row r="937" spans="1:15" x14ac:dyDescent="0.2">
      <c r="A937" s="56">
        <v>4592</v>
      </c>
      <c r="B937" s="56">
        <v>1668</v>
      </c>
      <c r="C937" s="4">
        <v>44381</v>
      </c>
      <c r="D937" s="160" t="s">
        <v>1501</v>
      </c>
      <c r="E937" s="80">
        <v>-113.40572908600001</v>
      </c>
      <c r="F937" s="80">
        <v>4.9000000000000002E-2</v>
      </c>
      <c r="G937" s="80">
        <v>-296.59885960000003</v>
      </c>
      <c r="H937" s="80">
        <v>6.9000000000000006E-2</v>
      </c>
      <c r="I937" s="80">
        <v>-4.7446070340932955</v>
      </c>
      <c r="J937" s="80">
        <v>0.18345917374862855</v>
      </c>
      <c r="K937" s="111">
        <v>-44.468288909497943</v>
      </c>
      <c r="L937" s="80">
        <v>0.90124934498258091</v>
      </c>
      <c r="N937" s="56">
        <v>20</v>
      </c>
      <c r="O937" s="56">
        <v>39</v>
      </c>
    </row>
    <row r="938" spans="1:15" x14ac:dyDescent="0.2">
      <c r="A938" s="56">
        <v>4704</v>
      </c>
      <c r="B938" s="56">
        <v>1672</v>
      </c>
      <c r="C938" s="4">
        <v>44392</v>
      </c>
      <c r="D938" s="160" t="s">
        <v>1504</v>
      </c>
      <c r="E938" s="80">
        <v>-49.409126415999999</v>
      </c>
      <c r="F938" s="80">
        <v>2E-3</v>
      </c>
      <c r="G938" s="80">
        <v>-442.63457094799998</v>
      </c>
      <c r="H938" s="80">
        <v>2.1999999999999999E-2</v>
      </c>
      <c r="I938" s="80">
        <v>6.2441553743002309</v>
      </c>
      <c r="J938" s="80">
        <v>0.12057698744213262</v>
      </c>
      <c r="K938" s="80">
        <v>18.622420211631852</v>
      </c>
      <c r="L938" s="80">
        <v>0.79531801549893755</v>
      </c>
      <c r="N938" s="56">
        <v>20</v>
      </c>
      <c r="O938" s="56">
        <v>40</v>
      </c>
    </row>
    <row r="939" spans="1:15" x14ac:dyDescent="0.2">
      <c r="A939" s="56">
        <v>4700</v>
      </c>
      <c r="B939" s="56">
        <v>1670</v>
      </c>
      <c r="C939" s="4">
        <v>44389</v>
      </c>
      <c r="D939" s="160" t="s">
        <v>1502</v>
      </c>
      <c r="E939" s="80">
        <v>-50.858033392000003</v>
      </c>
      <c r="F939" s="80">
        <v>2E-3</v>
      </c>
      <c r="G939" s="80">
        <v>-447.70120436299999</v>
      </c>
      <c r="H939" s="80">
        <v>2.5000000000000001E-2</v>
      </c>
      <c r="I939" s="80">
        <v>6.2270770045254054</v>
      </c>
      <c r="J939" s="80">
        <v>0.11868815615030417</v>
      </c>
      <c r="K939" s="80">
        <v>19.764119346451949</v>
      </c>
      <c r="L939" s="80">
        <v>0.68570344846791131</v>
      </c>
      <c r="N939" s="56">
        <v>20</v>
      </c>
      <c r="O939" s="56">
        <v>40</v>
      </c>
    </row>
    <row r="940" spans="1:15" x14ac:dyDescent="0.2">
      <c r="A940" s="56">
        <v>4702</v>
      </c>
      <c r="B940" s="56">
        <v>1671</v>
      </c>
      <c r="C940" s="4">
        <v>44390</v>
      </c>
      <c r="D940" s="160" t="s">
        <v>1503</v>
      </c>
      <c r="E940" s="80">
        <v>-51.530464954000003</v>
      </c>
      <c r="F940" s="80">
        <v>3.0000000000000001E-3</v>
      </c>
      <c r="G940" s="80">
        <v>-450.55394949099997</v>
      </c>
      <c r="H940" s="80">
        <v>2.4E-2</v>
      </c>
      <c r="I940" s="80">
        <v>6.6444740545308356</v>
      </c>
      <c r="J940" s="80">
        <v>0.14020494257074517</v>
      </c>
      <c r="K940" s="80">
        <v>15.274361079640864</v>
      </c>
      <c r="L940" s="80">
        <v>0.69819361359438703</v>
      </c>
      <c r="N940" s="56">
        <v>20</v>
      </c>
      <c r="O940" s="56">
        <v>40</v>
      </c>
    </row>
    <row r="941" spans="1:15" x14ac:dyDescent="0.2">
      <c r="A941" s="56">
        <v>4706</v>
      </c>
      <c r="B941" s="56">
        <v>1673</v>
      </c>
      <c r="C941" s="4">
        <v>44393</v>
      </c>
      <c r="D941" s="160" t="s">
        <v>1505</v>
      </c>
      <c r="E941" s="80">
        <v>-51.465919231000001</v>
      </c>
      <c r="F941" s="80">
        <v>2E-3</v>
      </c>
      <c r="G941" s="80">
        <v>-449.806891565</v>
      </c>
      <c r="H941" s="80">
        <v>2.4E-2</v>
      </c>
      <c r="I941" s="80">
        <v>6.4111228728318537</v>
      </c>
      <c r="J941" s="80">
        <v>0.12349803387175498</v>
      </c>
      <c r="K941" s="80">
        <v>15.855996892127022</v>
      </c>
      <c r="L941" s="80">
        <v>0.63309336960366791</v>
      </c>
      <c r="N941" s="56">
        <v>20</v>
      </c>
      <c r="O941" s="56">
        <v>40</v>
      </c>
    </row>
    <row r="942" spans="1:15" x14ac:dyDescent="0.2">
      <c r="A942" s="56">
        <v>4709</v>
      </c>
      <c r="B942" s="56">
        <v>1674</v>
      </c>
      <c r="C942" s="4">
        <v>44395</v>
      </c>
      <c r="D942" s="160" t="s">
        <v>1506</v>
      </c>
      <c r="E942" s="80">
        <v>-63.419401783000005</v>
      </c>
      <c r="F942" s="80">
        <v>2E-3</v>
      </c>
      <c r="G942" s="80">
        <v>-180.79923579600003</v>
      </c>
      <c r="H942" s="80">
        <v>1.6E-2</v>
      </c>
      <c r="I942" s="80">
        <v>5.3836995002956023</v>
      </c>
      <c r="J942" s="80">
        <v>9.8641115212806413E-2</v>
      </c>
      <c r="K942" s="80">
        <v>14.912352821814467</v>
      </c>
      <c r="L942" s="80">
        <v>0.50438965259909441</v>
      </c>
      <c r="N942" s="56">
        <v>20</v>
      </c>
      <c r="O942" s="56">
        <v>40</v>
      </c>
    </row>
    <row r="943" spans="1:15" x14ac:dyDescent="0.2">
      <c r="A943" s="56">
        <v>4711</v>
      </c>
      <c r="B943" s="56">
        <v>1675</v>
      </c>
      <c r="C943" s="4">
        <v>44397</v>
      </c>
      <c r="D943" s="160" t="s">
        <v>1507</v>
      </c>
      <c r="E943" s="80">
        <v>-44.415984889000001</v>
      </c>
      <c r="F943" s="80">
        <v>2E-3</v>
      </c>
      <c r="G943" s="80">
        <v>-107.41631906999999</v>
      </c>
      <c r="H943" s="80">
        <v>1.4999999999999999E-2</v>
      </c>
      <c r="I943" s="80">
        <v>1.4424442293794471</v>
      </c>
      <c r="J943" s="80">
        <v>9.8013737696163616E-2</v>
      </c>
      <c r="K943" s="80">
        <v>3.3860085617529734</v>
      </c>
      <c r="L943" s="80">
        <v>0.46287798338113945</v>
      </c>
      <c r="N943" s="56">
        <v>20</v>
      </c>
      <c r="O943" s="56">
        <v>40</v>
      </c>
    </row>
    <row r="944" spans="1:15" x14ac:dyDescent="0.2">
      <c r="A944" s="56">
        <v>4713</v>
      </c>
      <c r="B944" s="56">
        <v>1676</v>
      </c>
      <c r="C944" s="4">
        <v>44398</v>
      </c>
      <c r="D944" s="160" t="s">
        <v>1508</v>
      </c>
      <c r="E944" s="80">
        <v>-44.407314568000004</v>
      </c>
      <c r="F944" s="80">
        <v>2E-3</v>
      </c>
      <c r="G944" s="80">
        <v>-114.46726629599999</v>
      </c>
      <c r="H944" s="80">
        <v>1.7000000000000001E-2</v>
      </c>
      <c r="I944" s="80">
        <v>1.4613898732322994</v>
      </c>
      <c r="J944" s="80">
        <v>9.495053426279472E-2</v>
      </c>
      <c r="K944" s="80">
        <v>4.7140712705073806</v>
      </c>
      <c r="L944" s="80">
        <v>0.48340016515007467</v>
      </c>
      <c r="N944" s="56">
        <v>20</v>
      </c>
      <c r="O944" s="56">
        <v>40</v>
      </c>
    </row>
    <row r="945" spans="1:24" x14ac:dyDescent="0.2">
      <c r="A945" s="56">
        <v>4715</v>
      </c>
      <c r="B945" s="56">
        <v>1677</v>
      </c>
      <c r="C945" s="4">
        <v>44400</v>
      </c>
      <c r="D945" s="160" t="s">
        <v>1509</v>
      </c>
      <c r="E945" s="80">
        <v>-73.475047404999998</v>
      </c>
      <c r="F945" s="80">
        <v>2E-3</v>
      </c>
      <c r="G945" s="80">
        <v>-198.13587225000001</v>
      </c>
      <c r="H945" s="80">
        <v>1.7000000000000001E-2</v>
      </c>
      <c r="I945" s="80">
        <v>5.1686972876481274</v>
      </c>
      <c r="J945" s="80">
        <v>9.727361414174325E-2</v>
      </c>
      <c r="K945" s="80">
        <v>11.10616711534762</v>
      </c>
      <c r="L945" s="80">
        <v>0.5081487463770159</v>
      </c>
      <c r="N945" s="56">
        <v>20</v>
      </c>
      <c r="O945" s="56">
        <v>40</v>
      </c>
    </row>
    <row r="946" spans="1:24" x14ac:dyDescent="0.2">
      <c r="A946" s="56">
        <v>4717</v>
      </c>
      <c r="B946" s="56">
        <v>1678</v>
      </c>
      <c r="C946" s="4">
        <v>44402</v>
      </c>
      <c r="D946" s="160" t="s">
        <v>1510</v>
      </c>
      <c r="E946" s="80">
        <v>-59.819291829999997</v>
      </c>
      <c r="F946" s="80">
        <v>3.0000000000000001E-3</v>
      </c>
      <c r="G946" s="80">
        <v>-193.86992686400001</v>
      </c>
      <c r="H946" s="80">
        <v>1.4999999999999999E-2</v>
      </c>
      <c r="I946" s="80">
        <v>5.3542624831859342</v>
      </c>
      <c r="J946" s="80">
        <v>9.9682041588515791E-2</v>
      </c>
      <c r="K946" s="80">
        <v>13.789721986151582</v>
      </c>
      <c r="L946" s="80">
        <v>0.5266003864118286</v>
      </c>
      <c r="N946" s="56">
        <v>20</v>
      </c>
      <c r="O946" s="56">
        <v>40</v>
      </c>
    </row>
    <row r="947" spans="1:24" x14ac:dyDescent="0.2">
      <c r="A947" s="56">
        <v>4721</v>
      </c>
      <c r="B947" s="56">
        <v>1679</v>
      </c>
      <c r="C947" s="4">
        <v>44403</v>
      </c>
      <c r="D947" s="160" t="s">
        <v>1511</v>
      </c>
      <c r="E947" s="80">
        <v>-64.740180682000002</v>
      </c>
      <c r="F947" s="80">
        <v>2E-3</v>
      </c>
      <c r="G947" s="80">
        <v>-228.636346793</v>
      </c>
      <c r="H947" s="80">
        <v>1.7999999999999999E-2</v>
      </c>
      <c r="I947" s="80">
        <v>3.1628642831085241</v>
      </c>
      <c r="J947" s="80">
        <v>0.10291914322607061</v>
      </c>
      <c r="K947" s="80">
        <v>-0.39098106664015031</v>
      </c>
      <c r="L947" s="80">
        <v>0.53614211330975292</v>
      </c>
      <c r="N947" s="56">
        <v>20</v>
      </c>
      <c r="O947" s="56">
        <v>40</v>
      </c>
    </row>
    <row r="948" spans="1:24" x14ac:dyDescent="0.2">
      <c r="A948" s="56">
        <v>4723</v>
      </c>
      <c r="B948" s="56">
        <v>1680</v>
      </c>
      <c r="C948" s="4">
        <v>44405</v>
      </c>
      <c r="D948" s="160" t="s">
        <v>1512</v>
      </c>
      <c r="E948" s="80">
        <v>-45.457386778</v>
      </c>
      <c r="F948" s="80">
        <v>3.0000000000000001E-3</v>
      </c>
      <c r="G948" s="80">
        <v>-184.89300032500003</v>
      </c>
      <c r="H948" s="80">
        <v>1.7000000000000001E-2</v>
      </c>
      <c r="I948" s="80">
        <v>4.3517465315296988</v>
      </c>
      <c r="J948" s="80">
        <v>8.7349857793329599E-2</v>
      </c>
      <c r="K948" s="80">
        <v>9.0903986554011773</v>
      </c>
      <c r="L948" s="80">
        <v>0.4664743315539881</v>
      </c>
      <c r="N948" s="56">
        <v>20</v>
      </c>
      <c r="O948" s="56">
        <v>40</v>
      </c>
    </row>
    <row r="949" spans="1:24" x14ac:dyDescent="0.2">
      <c r="A949" s="56">
        <v>4725</v>
      </c>
      <c r="B949" s="56">
        <v>1681</v>
      </c>
      <c r="C949" s="4">
        <v>44406</v>
      </c>
      <c r="D949" s="160" t="s">
        <v>1513</v>
      </c>
      <c r="E949" s="80">
        <v>-70.055087454999992</v>
      </c>
      <c r="F949" s="80">
        <v>2E-3</v>
      </c>
      <c r="G949" s="80">
        <v>-184.88076889800001</v>
      </c>
      <c r="H949" s="80">
        <v>1.7999999999999999E-2</v>
      </c>
      <c r="I949" s="80">
        <v>5.2994576199947296</v>
      </c>
      <c r="J949" s="80">
        <v>8.7456098693126746E-2</v>
      </c>
      <c r="K949" s="80">
        <v>15.573933215202285</v>
      </c>
      <c r="L949" s="80">
        <v>0.48594824185817376</v>
      </c>
      <c r="N949" s="56">
        <v>20</v>
      </c>
      <c r="O949" s="56">
        <v>40</v>
      </c>
    </row>
    <row r="950" spans="1:24" x14ac:dyDescent="0.2">
      <c r="A950" s="56">
        <v>4727</v>
      </c>
      <c r="B950" s="56">
        <v>1682</v>
      </c>
      <c r="C950" s="4">
        <v>44412</v>
      </c>
      <c r="D950" s="160" t="s">
        <v>1514</v>
      </c>
      <c r="E950" s="80">
        <v>-62.742153375999997</v>
      </c>
      <c r="F950" s="80">
        <v>3.0000000000000001E-3</v>
      </c>
      <c r="G950" s="80">
        <v>-336.22774220099996</v>
      </c>
      <c r="H950" s="80">
        <v>0.02</v>
      </c>
      <c r="I950" s="80">
        <v>-1.1703285232876892</v>
      </c>
      <c r="J950" s="80">
        <v>0.10308648362559308</v>
      </c>
      <c r="K950" s="80">
        <v>-24.65003216089967</v>
      </c>
      <c r="L950" s="80">
        <v>0.66973889539114795</v>
      </c>
      <c r="N950" s="56">
        <v>20</v>
      </c>
      <c r="O950" s="56">
        <v>30</v>
      </c>
    </row>
    <row r="951" spans="1:24" x14ac:dyDescent="0.2">
      <c r="A951" s="56">
        <v>4730</v>
      </c>
      <c r="B951" s="56">
        <v>1683</v>
      </c>
      <c r="C951" s="4">
        <v>44413</v>
      </c>
      <c r="D951" s="160" t="s">
        <v>1515</v>
      </c>
      <c r="E951" s="80">
        <v>-55.461010473999998</v>
      </c>
      <c r="F951" s="80">
        <v>5.0000000000000001E-3</v>
      </c>
      <c r="G951" s="80">
        <v>-269.69160195799998</v>
      </c>
      <c r="H951" s="80">
        <v>0.02</v>
      </c>
      <c r="I951" s="80">
        <v>-2.1039010893239007</v>
      </c>
      <c r="J951" s="80">
        <v>0.12755342862298083</v>
      </c>
      <c r="K951" s="80">
        <v>-23.70300686305271</v>
      </c>
      <c r="L951" s="80">
        <v>0.55313109608291988</v>
      </c>
      <c r="N951" s="56">
        <v>14</v>
      </c>
      <c r="O951" s="56">
        <v>28</v>
      </c>
    </row>
    <row r="952" spans="1:24" x14ac:dyDescent="0.2">
      <c r="A952" s="56">
        <v>4732</v>
      </c>
      <c r="B952" s="56">
        <v>1684</v>
      </c>
      <c r="C952" s="4">
        <v>44415</v>
      </c>
      <c r="D952" s="160" t="s">
        <v>1516</v>
      </c>
      <c r="E952" s="80">
        <v>-63.059101776999995</v>
      </c>
      <c r="F952" s="80">
        <v>4.0000000000000001E-3</v>
      </c>
      <c r="G952" s="80">
        <v>-321.43241992599997</v>
      </c>
      <c r="H952" s="80">
        <v>2.7E-2</v>
      </c>
      <c r="I952" s="80">
        <v>-1.2186583382282068</v>
      </c>
      <c r="J952" s="80">
        <v>0.11334951008274634</v>
      </c>
      <c r="K952" s="80">
        <v>-21.130901374236565</v>
      </c>
      <c r="L952" s="80">
        <v>0.74994659785906781</v>
      </c>
      <c r="N952" s="56">
        <v>14</v>
      </c>
      <c r="O952" s="56">
        <v>35</v>
      </c>
    </row>
    <row r="953" spans="1:24" x14ac:dyDescent="0.2">
      <c r="A953" s="56">
        <v>4734</v>
      </c>
      <c r="B953" s="56">
        <v>1685</v>
      </c>
      <c r="C953" s="4">
        <v>44416</v>
      </c>
      <c r="D953" s="160" t="s">
        <v>1517</v>
      </c>
      <c r="E953" s="80">
        <v>-56.601639370000001</v>
      </c>
      <c r="F953" s="80">
        <v>1.2E-2</v>
      </c>
      <c r="G953" s="80">
        <v>-283.865944093</v>
      </c>
      <c r="H953" s="80">
        <v>4.8000000000000001E-2</v>
      </c>
      <c r="I953" s="80">
        <v>-0.74781852479199884</v>
      </c>
      <c r="J953" s="80">
        <v>0.30337268428731812</v>
      </c>
      <c r="K953" s="80">
        <v>-23.380599865742923</v>
      </c>
      <c r="L953" s="80">
        <v>1.1958887027464378</v>
      </c>
      <c r="N953" s="56">
        <v>5</v>
      </c>
      <c r="O953" s="56">
        <v>20</v>
      </c>
    </row>
    <row r="954" spans="1:24" x14ac:dyDescent="0.2">
      <c r="A954" s="56">
        <v>4736</v>
      </c>
      <c r="B954" s="56">
        <v>1686</v>
      </c>
      <c r="C954" s="4">
        <v>44418</v>
      </c>
      <c r="D954" s="160" t="s">
        <v>1493</v>
      </c>
      <c r="E954" s="80">
        <v>-44.183812960000004</v>
      </c>
      <c r="F954" s="80">
        <v>3.0000000000000001E-3</v>
      </c>
      <c r="G954" s="80">
        <v>121.120367393</v>
      </c>
      <c r="H954" s="80">
        <v>1.9E-2</v>
      </c>
      <c r="I954" s="80">
        <v>-12.293070225406598</v>
      </c>
      <c r="J954" s="80">
        <v>9.8586076667027664E-2</v>
      </c>
      <c r="K954" s="80">
        <v>132.95038631796263</v>
      </c>
      <c r="L954" s="80">
        <v>0.44843688404697329</v>
      </c>
      <c r="N954" s="56">
        <v>18</v>
      </c>
      <c r="O954" s="56">
        <v>39</v>
      </c>
    </row>
    <row r="955" spans="1:24" x14ac:dyDescent="0.2">
      <c r="A955" s="56">
        <v>4738</v>
      </c>
      <c r="B955" s="56">
        <v>1687</v>
      </c>
      <c r="C955" s="4">
        <v>44419</v>
      </c>
      <c r="D955" s="160" t="s">
        <v>1518</v>
      </c>
      <c r="E955" s="80">
        <v>-52.001552394999997</v>
      </c>
      <c r="F955" s="80">
        <v>1.4E-2</v>
      </c>
      <c r="G955" s="80">
        <v>-245.43856397500002</v>
      </c>
      <c r="H955" s="80">
        <v>0.03</v>
      </c>
      <c r="I955" s="80">
        <v>-0.48937666572768102</v>
      </c>
      <c r="J955" s="80">
        <v>0.52359104760378372</v>
      </c>
      <c r="K955" s="80">
        <v>-24.763573894845404</v>
      </c>
      <c r="L955" s="80">
        <v>0.77509083636391096</v>
      </c>
      <c r="N955" s="56">
        <v>17</v>
      </c>
      <c r="O955" s="56">
        <v>39</v>
      </c>
    </row>
    <row r="956" spans="1:24" s="116" customFormat="1" x14ac:dyDescent="0.2">
      <c r="A956" s="112">
        <v>4825</v>
      </c>
      <c r="B956" s="112">
        <v>1745</v>
      </c>
      <c r="C956" s="198">
        <v>44490</v>
      </c>
      <c r="D956" s="175" t="s">
        <v>785</v>
      </c>
      <c r="E956" s="188">
        <v>-25.635106233999998</v>
      </c>
      <c r="F956" s="188">
        <v>4.0000000000000001E-3</v>
      </c>
      <c r="G956" s="188">
        <v>-153.80165377</v>
      </c>
      <c r="H956" s="188">
        <v>0.28000000000000003</v>
      </c>
      <c r="I956" s="188">
        <v>3.0833905793299365</v>
      </c>
      <c r="J956" s="188">
        <v>0.39233435140677125</v>
      </c>
      <c r="K956" s="188">
        <v>9.9868591804723739</v>
      </c>
      <c r="L956" s="188">
        <v>0.96597730886926092</v>
      </c>
      <c r="M956" s="175"/>
      <c r="N956" s="112">
        <v>14</v>
      </c>
      <c r="O956" s="112">
        <v>28</v>
      </c>
      <c r="P956" s="188"/>
      <c r="Q956" s="188"/>
      <c r="R956" s="188"/>
      <c r="S956" s="188"/>
      <c r="T956" s="188"/>
      <c r="U956" s="188"/>
      <c r="V956" s="175"/>
      <c r="W956" s="122"/>
      <c r="X956" s="122"/>
    </row>
    <row r="957" spans="1:24" x14ac:dyDescent="0.2">
      <c r="A957" s="56">
        <v>4828</v>
      </c>
      <c r="B957" s="56">
        <v>1746</v>
      </c>
      <c r="C957" s="4">
        <v>44490</v>
      </c>
      <c r="D957" s="160" t="s">
        <v>1519</v>
      </c>
      <c r="E957" s="80">
        <v>-47.214571834000004</v>
      </c>
      <c r="F957" s="80">
        <v>3.0000000000000001E-3</v>
      </c>
      <c r="G957" s="80">
        <v>-329.66981557099996</v>
      </c>
      <c r="H957" s="80">
        <v>2.1000000000000001E-2</v>
      </c>
      <c r="I957" s="80">
        <v>-0.41675229443516315</v>
      </c>
      <c r="J957" s="80">
        <v>0.1394251542557505</v>
      </c>
      <c r="K957" s="80">
        <v>-31.638969614934066</v>
      </c>
      <c r="L957" s="80">
        <v>0.75492827911817806</v>
      </c>
      <c r="M957" s="160" t="s">
        <v>1520</v>
      </c>
      <c r="N957" s="56">
        <v>17</v>
      </c>
      <c r="O957" s="56">
        <v>40</v>
      </c>
    </row>
    <row r="958" spans="1:24" x14ac:dyDescent="0.2">
      <c r="A958" s="56">
        <v>4830</v>
      </c>
      <c r="B958" s="56">
        <v>1747</v>
      </c>
      <c r="C958" s="4" t="s">
        <v>1521</v>
      </c>
      <c r="D958" s="160" t="s">
        <v>1522</v>
      </c>
      <c r="E958" s="80">
        <v>-41.226270129999996</v>
      </c>
      <c r="F958" s="80">
        <v>4.0000000000000001E-3</v>
      </c>
      <c r="G958" s="80">
        <v>-169.046716207</v>
      </c>
      <c r="H958" s="80">
        <v>2.7E-2</v>
      </c>
      <c r="I958" s="80">
        <v>2.6405301995058306</v>
      </c>
      <c r="J958" s="80">
        <v>0.15555694155585376</v>
      </c>
      <c r="K958" s="80">
        <v>9.0842753538686871</v>
      </c>
      <c r="L958" s="80">
        <v>0.65470762824786211</v>
      </c>
      <c r="N958" s="56">
        <v>18</v>
      </c>
      <c r="O958" s="56">
        <v>35</v>
      </c>
    </row>
    <row r="959" spans="1:24" x14ac:dyDescent="0.2">
      <c r="A959" s="56">
        <v>4832</v>
      </c>
      <c r="B959" s="56">
        <v>1748</v>
      </c>
      <c r="C959" s="4" t="s">
        <v>1523</v>
      </c>
      <c r="D959" s="160" t="s">
        <v>1524</v>
      </c>
      <c r="E959" s="80">
        <v>-32.580996724000002</v>
      </c>
      <c r="F959" s="80">
        <v>5.0000000000000001E-3</v>
      </c>
      <c r="G959" s="80">
        <v>-109.444854194</v>
      </c>
      <c r="H959" s="80">
        <v>0.02</v>
      </c>
      <c r="I959" s="80">
        <v>2.0631281836884785</v>
      </c>
      <c r="J959" s="80">
        <v>0.17182033272540798</v>
      </c>
      <c r="K959" s="80">
        <v>-2.2982047025118524</v>
      </c>
      <c r="L959" s="80">
        <v>0.53979045660968361</v>
      </c>
      <c r="M959" s="160" t="s">
        <v>1525</v>
      </c>
      <c r="N959" s="56">
        <v>15</v>
      </c>
      <c r="O959" s="56">
        <v>35</v>
      </c>
    </row>
    <row r="960" spans="1:24" x14ac:dyDescent="0.2">
      <c r="A960" s="56">
        <v>4834</v>
      </c>
      <c r="B960" s="56">
        <v>1749</v>
      </c>
      <c r="C960" s="4" t="s">
        <v>1526</v>
      </c>
      <c r="D960" s="160" t="s">
        <v>1527</v>
      </c>
      <c r="E960" s="80" t="s">
        <v>1529</v>
      </c>
      <c r="F960" s="80" t="s">
        <v>1529</v>
      </c>
      <c r="G960" s="80">
        <v>-63.244872657000002</v>
      </c>
      <c r="H960" s="80">
        <v>3.4000000000000002E-2</v>
      </c>
      <c r="I960" s="80" t="s">
        <v>1529</v>
      </c>
      <c r="J960" s="80" t="s">
        <v>1529</v>
      </c>
      <c r="K960" s="80">
        <v>-8.2676981667557659</v>
      </c>
      <c r="L960" s="80">
        <v>0.71630080971836163</v>
      </c>
      <c r="M960" s="160" t="s">
        <v>1528</v>
      </c>
      <c r="N960" s="56" t="s">
        <v>1529</v>
      </c>
      <c r="O960" s="56">
        <v>23</v>
      </c>
    </row>
    <row r="961" spans="1:15" x14ac:dyDescent="0.2">
      <c r="A961" s="56">
        <v>4835</v>
      </c>
      <c r="B961" s="56">
        <v>1750</v>
      </c>
      <c r="C961" s="4" t="s">
        <v>1530</v>
      </c>
      <c r="D961" s="160" t="s">
        <v>1531</v>
      </c>
      <c r="E961" s="80">
        <v>-31.945173183999998</v>
      </c>
      <c r="F961" s="80">
        <v>4.0000000000000001E-3</v>
      </c>
      <c r="G961" s="80">
        <v>-103.564360444</v>
      </c>
      <c r="H961" s="80">
        <v>2.7E-2</v>
      </c>
      <c r="I961" s="80">
        <v>2.0021801058491828</v>
      </c>
      <c r="J961" s="80">
        <v>0.18192731033281476</v>
      </c>
      <c r="K961" s="80">
        <v>-0.60882355226632434</v>
      </c>
      <c r="L961" s="80">
        <v>0.62207680889247574</v>
      </c>
      <c r="N961" s="56">
        <v>13</v>
      </c>
      <c r="O961" s="56">
        <v>27</v>
      </c>
    </row>
  </sheetData>
  <pageMargins left="0.7" right="0.7" top="0.75" bottom="0.75" header="0.3" footer="0.3"/>
  <pageSetup paperSize="9" orientation="portrait" r:id="rId1"/>
  <ignoredErrors>
    <ignoredError sqref="L785:L78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
  <sheetViews>
    <sheetView workbookViewId="0">
      <selection activeCell="B13" sqref="B13"/>
    </sheetView>
  </sheetViews>
  <sheetFormatPr defaultRowHeight="15" x14ac:dyDescent="0.25"/>
  <cols>
    <col min="4" max="4" width="55" customWidth="1"/>
    <col min="13" max="13" width="28.7109375" customWidth="1"/>
    <col min="19" max="19" width="9.5703125" customWidth="1"/>
  </cols>
  <sheetData>
    <row r="1" spans="1:19" s="2" customFormat="1" ht="28.5" x14ac:dyDescent="0.25">
      <c r="A1" s="1" t="s">
        <v>0</v>
      </c>
      <c r="B1" s="1" t="s">
        <v>1</v>
      </c>
      <c r="C1" s="1" t="s">
        <v>152</v>
      </c>
      <c r="D1" s="2" t="s">
        <v>2</v>
      </c>
      <c r="E1" s="2" t="s">
        <v>10</v>
      </c>
      <c r="F1" s="2" t="s">
        <v>3</v>
      </c>
      <c r="G1" s="2" t="s">
        <v>5</v>
      </c>
      <c r="H1" s="2" t="s">
        <v>3</v>
      </c>
      <c r="I1" s="2" t="s">
        <v>8</v>
      </c>
      <c r="J1" s="2" t="s">
        <v>3</v>
      </c>
      <c r="K1" s="2" t="s">
        <v>9</v>
      </c>
      <c r="L1" s="2" t="s">
        <v>3</v>
      </c>
      <c r="M1" s="2" t="s">
        <v>4</v>
      </c>
      <c r="N1" s="1" t="s">
        <v>134</v>
      </c>
      <c r="O1" s="1" t="s">
        <v>135</v>
      </c>
      <c r="Q1" s="2" t="s">
        <v>181</v>
      </c>
      <c r="R1" s="2" t="s">
        <v>109</v>
      </c>
      <c r="S1" s="1" t="s">
        <v>192</v>
      </c>
    </row>
    <row r="2" spans="1:19" s="3" customFormat="1" ht="12.75" x14ac:dyDescent="0.2">
      <c r="A2" s="6">
        <v>1405</v>
      </c>
      <c r="B2" s="4" t="s">
        <v>153</v>
      </c>
      <c r="C2" s="5">
        <v>41036</v>
      </c>
      <c r="D2" s="7" t="s">
        <v>154</v>
      </c>
      <c r="E2" s="8">
        <v>-36.620402940999995</v>
      </c>
      <c r="F2" s="8">
        <v>3.0000000000000001E-3</v>
      </c>
      <c r="G2" s="8">
        <v>-59.115354726</v>
      </c>
      <c r="H2" s="8">
        <v>1.4999999999999999E-2</v>
      </c>
      <c r="I2" s="8">
        <v>-0.38490236414623347</v>
      </c>
      <c r="J2" s="8">
        <v>0.153</v>
      </c>
      <c r="K2" s="8">
        <v>-1.9457615494704594</v>
      </c>
      <c r="L2" s="8">
        <v>0.57999999999999996</v>
      </c>
      <c r="M2" s="7"/>
      <c r="N2" s="7" t="s">
        <v>126</v>
      </c>
      <c r="O2" s="7" t="s">
        <v>127</v>
      </c>
      <c r="Q2" s="9">
        <f t="shared" ref="Q2:Q8" si="0">E2--36.631</f>
        <v>1.0597059000005515E-2</v>
      </c>
      <c r="R2" s="9">
        <f>G2--59.121</f>
        <v>5.6452740000025869E-3</v>
      </c>
      <c r="S2" s="9">
        <f>K2--0.839704338930325</f>
        <v>-1.1060572105401345</v>
      </c>
    </row>
    <row r="3" spans="1:19" s="3" customFormat="1" ht="12.75" x14ac:dyDescent="0.2">
      <c r="A3" s="6">
        <v>1409</v>
      </c>
      <c r="B3" s="4" t="s">
        <v>155</v>
      </c>
      <c r="C3" s="5">
        <v>41037</v>
      </c>
      <c r="D3" s="7" t="s">
        <v>156</v>
      </c>
      <c r="E3" s="8">
        <v>-36.605952406</v>
      </c>
      <c r="F3" s="8">
        <v>5.0000000000000001E-3</v>
      </c>
      <c r="G3" s="8">
        <v>-58.894248161</v>
      </c>
      <c r="H3" s="8">
        <v>1.2999999999999999E-2</v>
      </c>
      <c r="I3" s="8">
        <v>0.22602375992852863</v>
      </c>
      <c r="J3" s="8">
        <v>0.124</v>
      </c>
      <c r="K3" s="8">
        <v>-0.28749292563290396</v>
      </c>
      <c r="L3" s="8">
        <v>0.54</v>
      </c>
      <c r="M3" s="7"/>
      <c r="N3" s="7" t="s">
        <v>126</v>
      </c>
      <c r="O3" s="7" t="s">
        <v>127</v>
      </c>
      <c r="Q3" s="9">
        <f t="shared" si="0"/>
        <v>2.5047594000000117E-2</v>
      </c>
      <c r="R3" s="9">
        <f>G3--59.121</f>
        <v>0.22675183900000206</v>
      </c>
      <c r="S3" s="9">
        <f>K3--0.839704338930325</f>
        <v>0.55221141329742107</v>
      </c>
    </row>
    <row r="4" spans="1:19" s="3" customFormat="1" ht="12.75" x14ac:dyDescent="0.2">
      <c r="A4" s="6"/>
      <c r="B4" s="4"/>
      <c r="C4" s="5"/>
      <c r="D4" s="7"/>
      <c r="E4" s="8"/>
      <c r="F4" s="8"/>
      <c r="G4" s="8"/>
      <c r="H4" s="8"/>
      <c r="I4" s="8"/>
      <c r="J4" s="8"/>
      <c r="K4" s="8"/>
      <c r="L4" s="8"/>
      <c r="M4" s="7"/>
      <c r="N4" s="7"/>
      <c r="O4" s="7"/>
      <c r="Q4" s="9"/>
      <c r="R4" s="9"/>
      <c r="S4" s="9"/>
    </row>
    <row r="5" spans="1:19" s="3" customFormat="1" ht="12.75" x14ac:dyDescent="0.2">
      <c r="A5" s="6">
        <v>1436</v>
      </c>
      <c r="B5" s="4">
        <v>0</v>
      </c>
      <c r="C5" s="5">
        <v>41067</v>
      </c>
      <c r="D5" s="7" t="s">
        <v>183</v>
      </c>
      <c r="E5" s="8">
        <v>-36.612695989000002</v>
      </c>
      <c r="F5" s="8">
        <v>8.0000000000000002E-3</v>
      </c>
      <c r="G5" s="8"/>
      <c r="H5" s="8"/>
      <c r="I5" s="8"/>
      <c r="J5" s="8"/>
      <c r="K5" s="8"/>
      <c r="L5" s="8"/>
      <c r="M5" s="7"/>
      <c r="N5" s="7" t="s">
        <v>188</v>
      </c>
      <c r="O5" s="7">
        <v>0</v>
      </c>
      <c r="Q5" s="9">
        <f t="shared" si="0"/>
        <v>1.8304010999997899E-2</v>
      </c>
      <c r="R5" s="9"/>
      <c r="S5" s="9"/>
    </row>
    <row r="6" spans="1:19" s="3" customFormat="1" ht="12.75" x14ac:dyDescent="0.2">
      <c r="A6" s="6">
        <v>1438</v>
      </c>
      <c r="B6" s="4">
        <v>0</v>
      </c>
      <c r="C6" s="5">
        <v>41067</v>
      </c>
      <c r="D6" s="7" t="s">
        <v>187</v>
      </c>
      <c r="E6" s="8">
        <v>-36.607879144000002</v>
      </c>
      <c r="F6" s="8">
        <v>3.0000000000000001E-3</v>
      </c>
      <c r="G6" s="8"/>
      <c r="H6" s="8"/>
      <c r="I6" s="8"/>
      <c r="J6" s="8"/>
      <c r="K6" s="8"/>
      <c r="L6" s="8"/>
      <c r="M6" s="7"/>
      <c r="N6" s="7" t="s">
        <v>126</v>
      </c>
      <c r="O6" s="7">
        <v>0</v>
      </c>
      <c r="Q6" s="9">
        <f t="shared" si="0"/>
        <v>2.3120855999998469E-2</v>
      </c>
      <c r="R6" s="9"/>
      <c r="S6" s="9"/>
    </row>
    <row r="7" spans="1:19" s="23" customFormat="1" ht="12.75" x14ac:dyDescent="0.2">
      <c r="A7" s="18">
        <v>1439</v>
      </c>
      <c r="B7" s="19">
        <v>0</v>
      </c>
      <c r="C7" s="20">
        <v>41068</v>
      </c>
      <c r="D7" s="21" t="s">
        <v>185</v>
      </c>
      <c r="E7" s="22">
        <v>-36.328502133999997</v>
      </c>
      <c r="F7" s="22">
        <v>4.0000000000000001E-3</v>
      </c>
      <c r="G7" s="22"/>
      <c r="H7" s="22"/>
      <c r="I7" s="22"/>
      <c r="J7" s="22"/>
      <c r="K7" s="22"/>
      <c r="L7" s="22"/>
      <c r="M7" s="21"/>
      <c r="N7" s="21" t="s">
        <v>186</v>
      </c>
      <c r="O7" s="21">
        <v>0</v>
      </c>
      <c r="Q7" s="24">
        <f t="shared" si="0"/>
        <v>0.30249786600000306</v>
      </c>
      <c r="R7" s="24"/>
      <c r="S7" s="24"/>
    </row>
    <row r="8" spans="1:19" s="3" customFormat="1" ht="12.75" x14ac:dyDescent="0.2">
      <c r="A8" s="6">
        <v>1440</v>
      </c>
      <c r="B8" s="4">
        <v>0</v>
      </c>
      <c r="C8" s="5">
        <v>41068</v>
      </c>
      <c r="D8" s="7" t="s">
        <v>184</v>
      </c>
      <c r="E8" s="8">
        <v>-36.33235561</v>
      </c>
      <c r="F8" s="8">
        <v>4.0000000000000001E-3</v>
      </c>
      <c r="G8" s="8"/>
      <c r="H8" s="8"/>
      <c r="I8" s="8"/>
      <c r="J8" s="8"/>
      <c r="K8" s="8"/>
      <c r="L8" s="8"/>
      <c r="M8" s="7"/>
      <c r="N8" s="7" t="s">
        <v>159</v>
      </c>
      <c r="O8" s="7">
        <v>0</v>
      </c>
      <c r="Q8" s="9">
        <f t="shared" si="0"/>
        <v>0.29864438999999976</v>
      </c>
      <c r="R8" s="9"/>
      <c r="S8" s="9"/>
    </row>
    <row r="9" spans="1:19" s="3" customFormat="1" ht="12.75" x14ac:dyDescent="0.2">
      <c r="A9" s="6">
        <v>1441</v>
      </c>
      <c r="B9" s="4">
        <v>0</v>
      </c>
      <c r="C9" s="5">
        <v>41068</v>
      </c>
      <c r="D9" s="7" t="s">
        <v>189</v>
      </c>
      <c r="E9" s="8">
        <v>-36.601135561</v>
      </c>
      <c r="F9" s="8">
        <v>7.0000000000000001E-3</v>
      </c>
      <c r="G9" s="8">
        <v>-59.041966164000002</v>
      </c>
      <c r="H9" s="8">
        <v>2.4E-2</v>
      </c>
      <c r="I9" s="8">
        <v>0.19106596861995229</v>
      </c>
      <c r="J9" s="8">
        <v>0.33300000000000002</v>
      </c>
      <c r="K9" s="8">
        <v>-1.7058378488025161</v>
      </c>
      <c r="L9" s="8">
        <v>0.82099999999999995</v>
      </c>
      <c r="M9" s="7"/>
      <c r="N9" s="7" t="s">
        <v>182</v>
      </c>
      <c r="O9" s="7" t="s">
        <v>146</v>
      </c>
      <c r="Q9" s="9">
        <f>E9--36.631</f>
        <v>2.9864439000000687E-2</v>
      </c>
      <c r="R9" s="9">
        <f>G9--59.121</f>
        <v>7.903383600000069E-2</v>
      </c>
      <c r="S9" s="9">
        <f>K9--0.839704338930325</f>
        <v>-0.86613350987219107</v>
      </c>
    </row>
    <row r="10" spans="1:19" s="3" customFormat="1" ht="12.75" x14ac:dyDescent="0.2">
      <c r="A10" s="6">
        <v>1443</v>
      </c>
      <c r="B10" s="4">
        <v>0</v>
      </c>
      <c r="C10" s="5">
        <v>41069</v>
      </c>
      <c r="D10" s="7" t="s">
        <v>180</v>
      </c>
      <c r="E10" s="8">
        <v>-36.484567911999996</v>
      </c>
      <c r="F10" s="8">
        <v>7.0000000000000001E-3</v>
      </c>
      <c r="G10" s="8">
        <v>-58.395582291000004</v>
      </c>
      <c r="H10" s="8">
        <v>1.6E-2</v>
      </c>
      <c r="I10" s="8">
        <v>-0.30174838356555878</v>
      </c>
      <c r="J10" s="8">
        <v>0.14599999999999999</v>
      </c>
      <c r="K10" s="8">
        <v>0.13038822750255363</v>
      </c>
      <c r="L10" s="8">
        <v>0.50900000000000001</v>
      </c>
      <c r="M10" s="7"/>
      <c r="N10" s="7" t="s">
        <v>126</v>
      </c>
      <c r="O10" s="7" t="s">
        <v>127</v>
      </c>
      <c r="Q10" s="9">
        <f>E10--36.631</f>
        <v>0.14643208800000451</v>
      </c>
      <c r="R10" s="9">
        <f>G10--59.121</f>
        <v>0.72541770899999847</v>
      </c>
      <c r="S10" s="9">
        <f>K10--0.839704338930325</f>
        <v>0.97009256643287867</v>
      </c>
    </row>
    <row r="11" spans="1:19" s="3" customFormat="1" ht="12.75" x14ac:dyDescent="0.2">
      <c r="A11" s="6">
        <v>1445</v>
      </c>
      <c r="B11" s="4">
        <v>0</v>
      </c>
      <c r="C11" s="5">
        <v>41071</v>
      </c>
      <c r="D11" s="7" t="s">
        <v>190</v>
      </c>
      <c r="E11" s="8">
        <v>-36.629073261999999</v>
      </c>
      <c r="F11" s="8">
        <v>1.7999999999999999E-2</v>
      </c>
      <c r="G11" s="8">
        <v>-59.099359782999997</v>
      </c>
      <c r="H11" s="8">
        <v>1.9E-2</v>
      </c>
      <c r="I11" s="8">
        <v>0.34908171082115302</v>
      </c>
      <c r="J11" s="8">
        <v>0.188</v>
      </c>
      <c r="K11" s="8">
        <v>-0.10435671625941279</v>
      </c>
      <c r="L11" s="8">
        <v>0.53700000000000003</v>
      </c>
      <c r="M11" s="7"/>
      <c r="N11" s="7" t="s">
        <v>191</v>
      </c>
      <c r="O11" s="7" t="s">
        <v>127</v>
      </c>
      <c r="Q11" s="9">
        <f>E11--36.631</f>
        <v>1.9267380000016487E-3</v>
      </c>
      <c r="R11" s="9">
        <f>G11--59.121</f>
        <v>2.164021700000518E-2</v>
      </c>
      <c r="S11" s="9">
        <f>K11--0.839704338930325</f>
        <v>0.73534762267091225</v>
      </c>
    </row>
    <row r="12" spans="1:19" s="3" customFormat="1" ht="12.75" x14ac:dyDescent="0.2">
      <c r="A12" s="6">
        <v>1449</v>
      </c>
      <c r="B12" s="4">
        <v>0</v>
      </c>
      <c r="C12" s="5">
        <v>41073</v>
      </c>
      <c r="D12" s="7" t="s">
        <v>183</v>
      </c>
      <c r="E12" s="8">
        <v>-36.508652136999999</v>
      </c>
      <c r="F12" s="8">
        <v>1.2999999999999999E-2</v>
      </c>
      <c r="G12" s="8">
        <v>-58.603516550000002</v>
      </c>
      <c r="H12" s="8">
        <v>1.4999999999999999E-2</v>
      </c>
      <c r="I12" s="8">
        <v>6.6974950765352759E-2</v>
      </c>
      <c r="J12" s="8">
        <v>0.161</v>
      </c>
      <c r="K12" s="8">
        <v>-0.38189573716096437</v>
      </c>
      <c r="L12" s="8">
        <v>0.49399999999999999</v>
      </c>
      <c r="M12" s="7"/>
      <c r="N12" s="7" t="s">
        <v>126</v>
      </c>
      <c r="O12" s="7" t="s">
        <v>127</v>
      </c>
      <c r="Q12" s="9">
        <f>E12--36.631</f>
        <v>0.12234786300000167</v>
      </c>
      <c r="R12" s="9">
        <f>G12--59.121</f>
        <v>0.51748345000000029</v>
      </c>
      <c r="S12" s="9">
        <f>K12--0.839704338930325</f>
        <v>0.45780860176936067</v>
      </c>
    </row>
    <row r="13" spans="1:19" s="3" customFormat="1" ht="12.75" x14ac:dyDescent="0.2">
      <c r="A13" s="6">
        <v>1451</v>
      </c>
      <c r="B13" s="4">
        <v>0</v>
      </c>
      <c r="C13" s="5">
        <v>41075</v>
      </c>
      <c r="D13" s="7" t="s">
        <v>193</v>
      </c>
      <c r="E13" s="8">
        <v>-36.623293048000001</v>
      </c>
      <c r="F13" s="8">
        <v>3.4000000000000002E-2</v>
      </c>
      <c r="G13" s="8">
        <v>-59.094655388000007</v>
      </c>
      <c r="H13" s="8">
        <v>1.9E-2</v>
      </c>
      <c r="I13" s="8">
        <v>-8.2906372709024012E-2</v>
      </c>
      <c r="J13" s="8">
        <v>0.53100000000000003</v>
      </c>
      <c r="K13" s="8">
        <v>-0.50500516664164774</v>
      </c>
      <c r="L13" s="8">
        <v>0.55400000000000005</v>
      </c>
      <c r="M13" s="7" t="s">
        <v>195</v>
      </c>
      <c r="N13" s="7" t="s">
        <v>194</v>
      </c>
      <c r="O13" s="7" t="s">
        <v>127</v>
      </c>
      <c r="Q13" s="9">
        <f>E13--36.631</f>
        <v>7.7069519999994895E-3</v>
      </c>
      <c r="R13" s="9">
        <f>G13--59.121</f>
        <v>2.6344611999995493E-2</v>
      </c>
      <c r="S13" s="9">
        <f>K13--0.839704338930325</f>
        <v>0.33469917228867729</v>
      </c>
    </row>
    <row r="14" spans="1:19" s="3" customFormat="1" ht="12.75" x14ac:dyDescent="0.2">
      <c r="A14" s="6"/>
      <c r="B14" s="4"/>
      <c r="C14" s="5"/>
      <c r="D14" s="7"/>
      <c r="E14" s="8"/>
      <c r="F14" s="8"/>
      <c r="G14" s="8"/>
      <c r="H14" s="8"/>
      <c r="I14" s="8"/>
      <c r="J14" s="8"/>
      <c r="K14" s="8"/>
      <c r="L14" s="8"/>
      <c r="M14" s="7"/>
      <c r="N14" s="7"/>
      <c r="O14" s="7"/>
      <c r="Q14" s="9"/>
      <c r="R14" s="9"/>
    </row>
    <row r="15" spans="1:19" s="3" customFormat="1" ht="12.75" x14ac:dyDescent="0.2">
      <c r="A15" s="6"/>
      <c r="B15" s="4"/>
      <c r="C15" s="5"/>
      <c r="D15" s="7"/>
      <c r="E15" s="8"/>
      <c r="F15" s="8"/>
      <c r="G15" s="8"/>
      <c r="H15" s="8"/>
      <c r="I15" s="8"/>
      <c r="J15" s="8"/>
      <c r="K15" s="8"/>
      <c r="L15" s="8"/>
      <c r="M15" s="7"/>
      <c r="N15" s="7"/>
      <c r="O15" s="7"/>
      <c r="Q15" s="9"/>
      <c r="R15" s="9"/>
    </row>
    <row r="16" spans="1:19" s="3" customFormat="1" ht="12.75" x14ac:dyDescent="0.2">
      <c r="A16" s="6"/>
      <c r="B16" s="4"/>
      <c r="C16" s="5"/>
      <c r="D16" s="7"/>
      <c r="E16" s="8"/>
      <c r="F16" s="8"/>
      <c r="G16" s="8"/>
      <c r="H16" s="8"/>
      <c r="I16" s="8"/>
      <c r="J16" s="8"/>
      <c r="K16" s="8"/>
      <c r="L16" s="8"/>
      <c r="M16" s="7"/>
      <c r="N16" s="7"/>
      <c r="O16" s="7"/>
      <c r="Q16" s="9"/>
      <c r="R16" s="9"/>
    </row>
    <row r="17" spans="1:18" s="3" customFormat="1" ht="12.75" x14ac:dyDescent="0.2">
      <c r="A17" s="6"/>
      <c r="B17" s="4"/>
      <c r="C17" s="5"/>
      <c r="D17" s="7"/>
      <c r="E17" s="8"/>
      <c r="F17" s="8"/>
      <c r="G17" s="8"/>
      <c r="H17" s="8"/>
      <c r="I17" s="8"/>
      <c r="J17" s="8"/>
      <c r="K17" s="8"/>
      <c r="L17" s="8"/>
      <c r="M17" s="7"/>
      <c r="N17" s="7"/>
      <c r="O17" s="7"/>
      <c r="Q17" s="9"/>
      <c r="R17" s="9"/>
    </row>
    <row r="18" spans="1:18" s="3" customFormat="1" ht="12.75" x14ac:dyDescent="0.2">
      <c r="A18" s="6"/>
      <c r="B18" s="4"/>
      <c r="C18" s="5"/>
      <c r="D18" s="7"/>
      <c r="E18" s="8"/>
      <c r="F18" s="8"/>
      <c r="G18" s="8"/>
      <c r="H18" s="8"/>
      <c r="I18" s="8"/>
      <c r="J18" s="8"/>
      <c r="K18" s="8"/>
      <c r="L18" s="8"/>
      <c r="M18" s="7"/>
      <c r="N18" s="7"/>
      <c r="O18" s="7"/>
      <c r="Q18" s="9"/>
      <c r="R18" s="9"/>
    </row>
    <row r="19" spans="1:18" s="3" customFormat="1" ht="12.75" x14ac:dyDescent="0.2">
      <c r="A19" s="6"/>
      <c r="B19" s="4"/>
      <c r="C19" s="5"/>
      <c r="D19" s="7"/>
      <c r="E19" s="8"/>
      <c r="F19" s="8"/>
      <c r="G19" s="8"/>
      <c r="H19" s="8"/>
      <c r="I19" s="8"/>
      <c r="J19" s="8"/>
      <c r="K19" s="8"/>
      <c r="L19" s="8"/>
      <c r="M19" s="7"/>
      <c r="N19" s="7"/>
      <c r="O19" s="7"/>
      <c r="Q19" s="9"/>
      <c r="R19" s="9"/>
    </row>
    <row r="20" spans="1:18" s="3" customFormat="1" ht="12.75" x14ac:dyDescent="0.2">
      <c r="A20" s="6"/>
      <c r="B20" s="4"/>
      <c r="C20" s="5"/>
      <c r="D20" s="7"/>
      <c r="E20" s="8"/>
      <c r="F20" s="8"/>
      <c r="G20" s="8"/>
      <c r="H20" s="8"/>
      <c r="I20" s="8"/>
      <c r="J20" s="8"/>
      <c r="K20" s="8"/>
      <c r="L20" s="8"/>
      <c r="M20" s="7"/>
      <c r="N20" s="7"/>
      <c r="O20" s="7"/>
      <c r="Q20" s="9"/>
      <c r="R20" s="9"/>
    </row>
    <row r="21" spans="1:18" s="3" customFormat="1" ht="12.75" x14ac:dyDescent="0.2">
      <c r="A21" s="6"/>
      <c r="B21" s="4"/>
      <c r="C21" s="5"/>
      <c r="D21" s="7"/>
      <c r="E21" s="8"/>
      <c r="F21" s="8"/>
      <c r="G21" s="8"/>
      <c r="H21" s="8"/>
      <c r="I21" s="8"/>
      <c r="J21" s="8"/>
      <c r="K21" s="8"/>
      <c r="L21" s="8"/>
      <c r="M21" s="7"/>
      <c r="N21" s="7"/>
      <c r="O21" s="7"/>
      <c r="Q21" s="9"/>
      <c r="R21" s="9"/>
    </row>
    <row r="22" spans="1:18" s="3" customFormat="1" ht="12.75" x14ac:dyDescent="0.2">
      <c r="A22" s="6"/>
      <c r="B22" s="4"/>
      <c r="C22" s="5"/>
      <c r="D22" s="7"/>
      <c r="E22" s="8"/>
      <c r="F22" s="8"/>
      <c r="G22" s="8"/>
      <c r="H22" s="8"/>
      <c r="I22" s="8"/>
      <c r="J22" s="8"/>
      <c r="K22" s="8"/>
      <c r="L22" s="8"/>
      <c r="M22" s="7"/>
      <c r="N22" s="7"/>
      <c r="O22" s="7"/>
      <c r="Q22" s="9"/>
      <c r="R22"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Views>
    <sheetView workbookViewId="0">
      <selection activeCell="D1" sqref="D1"/>
    </sheetView>
  </sheetViews>
  <sheetFormatPr defaultRowHeight="15" x14ac:dyDescent="0.25"/>
  <cols>
    <col min="3" max="3" width="9.5703125" bestFit="1" customWidth="1"/>
    <col min="4" max="4" width="43.140625" customWidth="1"/>
  </cols>
  <sheetData>
    <row r="1" spans="1:21" ht="25.5" x14ac:dyDescent="0.25">
      <c r="A1" s="55" t="s">
        <v>0</v>
      </c>
      <c r="B1" s="55" t="s">
        <v>1</v>
      </c>
      <c r="C1" s="1" t="s">
        <v>152</v>
      </c>
      <c r="D1" s="2" t="s">
        <v>2</v>
      </c>
      <c r="E1" s="2" t="s">
        <v>10</v>
      </c>
      <c r="F1" s="84" t="s">
        <v>3</v>
      </c>
      <c r="G1" s="2" t="s">
        <v>5</v>
      </c>
      <c r="H1" s="81" t="s">
        <v>3</v>
      </c>
      <c r="I1" s="2" t="s">
        <v>8</v>
      </c>
      <c r="J1" s="2" t="s">
        <v>3</v>
      </c>
      <c r="K1" s="2" t="s">
        <v>9</v>
      </c>
      <c r="L1" s="2" t="s">
        <v>3</v>
      </c>
    </row>
    <row r="2" spans="1:21" s="3" customFormat="1" ht="12.75" x14ac:dyDescent="0.2">
      <c r="A2" s="56">
        <v>3388</v>
      </c>
      <c r="B2" s="56">
        <v>1197</v>
      </c>
      <c r="C2" s="4">
        <v>43190</v>
      </c>
      <c r="D2" s="3" t="s">
        <v>1183</v>
      </c>
      <c r="E2" s="80">
        <v>-61.717128760000001</v>
      </c>
      <c r="F2" s="80">
        <v>5.0000000000000001E-3</v>
      </c>
      <c r="G2" s="80">
        <v>-179.75862362199999</v>
      </c>
      <c r="H2" s="80">
        <v>1.7000000000000001E-2</v>
      </c>
      <c r="I2" s="80">
        <v>3.6385565651853025</v>
      </c>
      <c r="J2" s="80">
        <v>0.16729045509557472</v>
      </c>
      <c r="K2" s="80">
        <v>2.6667316400994512</v>
      </c>
      <c r="L2" s="80">
        <v>0.62325889442905158</v>
      </c>
      <c r="M2" s="3" t="s">
        <v>1189</v>
      </c>
      <c r="N2" s="56">
        <v>11</v>
      </c>
      <c r="O2" s="56">
        <v>30</v>
      </c>
    </row>
    <row r="3" spans="1:21" s="3" customFormat="1" ht="12.75" x14ac:dyDescent="0.2">
      <c r="A3" s="56">
        <v>3390</v>
      </c>
      <c r="B3" s="56">
        <v>1198</v>
      </c>
      <c r="C3" s="4">
        <v>43191</v>
      </c>
      <c r="D3" s="3" t="s">
        <v>1185</v>
      </c>
      <c r="E3" s="80">
        <v>-64.818213571000001</v>
      </c>
      <c r="F3" s="80">
        <v>7.0000000000000001E-3</v>
      </c>
      <c r="G3" s="80">
        <v>-194.751530487</v>
      </c>
      <c r="H3" s="80">
        <v>0.04</v>
      </c>
      <c r="I3" s="80">
        <v>3.0470054568472182</v>
      </c>
      <c r="J3" s="80">
        <v>0.32723791563254395</v>
      </c>
      <c r="K3" s="80">
        <v>-1.2217686647514325</v>
      </c>
      <c r="L3" s="80">
        <v>1.2433112163917537</v>
      </c>
      <c r="M3" s="3" t="s">
        <v>1184</v>
      </c>
      <c r="N3" s="56">
        <v>5</v>
      </c>
      <c r="O3" s="56">
        <v>10</v>
      </c>
    </row>
    <row r="4" spans="1:21" s="3" customFormat="1" ht="12.75" x14ac:dyDescent="0.2">
      <c r="A4" s="56">
        <v>3392</v>
      </c>
      <c r="B4" s="56">
        <v>1200</v>
      </c>
      <c r="C4" s="4">
        <v>43192</v>
      </c>
      <c r="D4" s="3" t="s">
        <v>1187</v>
      </c>
      <c r="E4" s="80">
        <v>-58.031278966000002</v>
      </c>
      <c r="F4" s="80">
        <v>3.0000000000000001E-3</v>
      </c>
      <c r="G4" s="80">
        <v>-179.57609309600002</v>
      </c>
      <c r="H4" s="80">
        <v>1.7000000000000001E-2</v>
      </c>
      <c r="I4" s="80">
        <v>2.17016790331237</v>
      </c>
      <c r="J4" s="80">
        <v>0.14793735261859081</v>
      </c>
      <c r="K4" s="80">
        <v>3.1917430224395194</v>
      </c>
      <c r="L4" s="80">
        <v>0.61742500115177579</v>
      </c>
      <c r="M4" s="3" t="s">
        <v>1186</v>
      </c>
      <c r="N4" s="56">
        <v>15</v>
      </c>
      <c r="O4" s="56">
        <v>35</v>
      </c>
    </row>
    <row r="5" spans="1:21" s="3" customFormat="1" ht="12.75" x14ac:dyDescent="0.2">
      <c r="A5" s="56">
        <v>2928</v>
      </c>
      <c r="B5" s="56" t="s">
        <v>993</v>
      </c>
      <c r="C5" s="4">
        <v>42355</v>
      </c>
      <c r="D5" s="160" t="s">
        <v>1018</v>
      </c>
      <c r="E5" s="80">
        <v>-59.783647176999999</v>
      </c>
      <c r="F5" s="80">
        <v>4.0000000000000001E-3</v>
      </c>
      <c r="G5" s="80">
        <v>-180.44546529200002</v>
      </c>
      <c r="H5" s="80">
        <v>0.02</v>
      </c>
      <c r="I5" s="80">
        <v>2.8175119347064737</v>
      </c>
      <c r="J5" s="80">
        <v>0.14424202091926328</v>
      </c>
      <c r="K5" s="80">
        <v>0.54356647487230347</v>
      </c>
      <c r="L5" s="80">
        <v>0.60769351403852756</v>
      </c>
      <c r="N5" s="86"/>
      <c r="O5" s="86"/>
    </row>
    <row r="6" spans="1:21" s="3" customFormat="1" ht="12.75" x14ac:dyDescent="0.2">
      <c r="A6" s="56">
        <v>2930</v>
      </c>
      <c r="B6" s="99" t="s">
        <v>994</v>
      </c>
      <c r="C6" s="4">
        <v>42356</v>
      </c>
      <c r="D6" s="160" t="s">
        <v>1016</v>
      </c>
      <c r="E6" s="80">
        <v>-59.217186204999997</v>
      </c>
      <c r="F6" s="80">
        <v>3.0000000000000001E-3</v>
      </c>
      <c r="G6" s="80">
        <v>-180.17637389800001</v>
      </c>
      <c r="H6" s="80">
        <v>1.9E-2</v>
      </c>
      <c r="I6" s="80">
        <v>2.1244846616426116</v>
      </c>
      <c r="J6" s="80">
        <v>0.12304194379594853</v>
      </c>
      <c r="K6" s="80">
        <v>2.4465109500531046</v>
      </c>
      <c r="L6" s="80">
        <v>0.58895058283681823</v>
      </c>
      <c r="N6" s="86"/>
      <c r="O6" s="86"/>
    </row>
    <row r="7" spans="1:21" x14ac:dyDescent="0.25">
      <c r="A7" s="56">
        <v>2934</v>
      </c>
      <c r="B7" s="56" t="s">
        <v>995</v>
      </c>
      <c r="C7" s="4">
        <v>42372</v>
      </c>
      <c r="D7" s="160" t="s">
        <v>996</v>
      </c>
      <c r="E7" s="80">
        <v>-69.633131833000007</v>
      </c>
      <c r="F7" s="80">
        <v>8.0000000000000002E-3</v>
      </c>
      <c r="G7" s="80">
        <v>-188.31309549000002</v>
      </c>
      <c r="H7" s="80">
        <v>3.6999999999999998E-2</v>
      </c>
      <c r="I7" s="80">
        <v>5.7762534568794877</v>
      </c>
      <c r="J7" s="80">
        <v>0.73229081199886836</v>
      </c>
      <c r="K7" s="80">
        <v>16.078874180021518</v>
      </c>
      <c r="L7" s="80">
        <v>1.5074346207866369</v>
      </c>
    </row>
    <row r="8" spans="1:21" x14ac:dyDescent="0.25">
      <c r="A8" s="56">
        <v>2936</v>
      </c>
      <c r="B8" s="56" t="s">
        <v>998</v>
      </c>
      <c r="C8" s="4">
        <v>42374</v>
      </c>
      <c r="D8" s="160" t="s">
        <v>999</v>
      </c>
      <c r="E8" s="80">
        <v>-62.769127708000006</v>
      </c>
      <c r="F8" s="80">
        <v>3.0000000000000001E-3</v>
      </c>
      <c r="G8" s="80">
        <v>-170.90024783699999</v>
      </c>
      <c r="H8" s="80">
        <v>1.7000000000000001E-2</v>
      </c>
      <c r="I8" s="80">
        <v>5.1357906686555488</v>
      </c>
      <c r="J8" s="80">
        <v>0.12865248261305953</v>
      </c>
      <c r="K8" s="80">
        <v>14.079792520949264</v>
      </c>
      <c r="L8" s="80">
        <v>0.69069401432461786</v>
      </c>
    </row>
    <row r="9" spans="1:21" x14ac:dyDescent="0.25">
      <c r="A9" s="56">
        <v>2938</v>
      </c>
      <c r="B9" s="56">
        <v>1031</v>
      </c>
      <c r="C9" s="4">
        <v>42375</v>
      </c>
      <c r="D9" s="160" t="s">
        <v>1001</v>
      </c>
      <c r="E9" s="80">
        <v>-71.064698166999989</v>
      </c>
      <c r="F9" s="80">
        <v>3.3999999999999998E-3</v>
      </c>
      <c r="G9" s="80">
        <v>-188.18607682500001</v>
      </c>
      <c r="H9" s="80">
        <v>1.4999999999999999E-2</v>
      </c>
      <c r="I9" s="80">
        <v>4.7298854651012245</v>
      </c>
      <c r="J9" s="80">
        <v>0.15726583217102524</v>
      </c>
      <c r="K9" s="80">
        <v>14.56377542642584</v>
      </c>
      <c r="L9" s="80">
        <v>0.61666025143440784</v>
      </c>
    </row>
    <row r="10" spans="1:21" x14ac:dyDescent="0.25">
      <c r="A10" s="56">
        <v>2940</v>
      </c>
      <c r="B10" s="56" t="s">
        <v>1009</v>
      </c>
      <c r="C10" s="4">
        <v>42376</v>
      </c>
      <c r="D10" s="166" t="s">
        <v>1010</v>
      </c>
      <c r="E10" s="80">
        <v>-59.412750111999998</v>
      </c>
      <c r="F10" s="80">
        <v>3.3999999999999998E-3</v>
      </c>
      <c r="G10" s="80">
        <v>-180.284574983</v>
      </c>
      <c r="H10" s="80">
        <v>2.1999999999999999E-2</v>
      </c>
      <c r="I10" s="80">
        <v>2.5885886930014923</v>
      </c>
      <c r="J10" s="80">
        <v>0.12030701241159059</v>
      </c>
      <c r="K10" s="80">
        <v>0.73793905140218108</v>
      </c>
      <c r="L10" s="80">
        <v>0.88614299725827794</v>
      </c>
      <c r="R10" s="101" t="s">
        <v>1091</v>
      </c>
      <c r="S10" s="101"/>
      <c r="T10" s="101"/>
      <c r="U10" s="101"/>
    </row>
    <row r="11" spans="1:21" x14ac:dyDescent="0.25">
      <c r="A11" s="56">
        <v>2942</v>
      </c>
      <c r="B11" s="56">
        <v>1033</v>
      </c>
      <c r="C11" s="4">
        <v>42378</v>
      </c>
      <c r="D11" s="160" t="s">
        <v>1011</v>
      </c>
      <c r="E11" s="80">
        <v>-62.231567806000001</v>
      </c>
      <c r="F11" s="80">
        <v>4.0000000000000001E-3</v>
      </c>
      <c r="G11" s="80">
        <v>-174.75126558400001</v>
      </c>
      <c r="H11" s="80">
        <v>1.4E-2</v>
      </c>
      <c r="I11" s="80">
        <v>5.3096784035320255</v>
      </c>
      <c r="J11" s="80">
        <v>0.183463082348857</v>
      </c>
      <c r="K11" s="80">
        <v>13.433247821886374</v>
      </c>
      <c r="L11" s="80">
        <v>0.60499453979722129</v>
      </c>
      <c r="R11" s="101" t="s">
        <v>1092</v>
      </c>
      <c r="S11" s="101" t="s">
        <v>1093</v>
      </c>
      <c r="T11" s="101" t="s">
        <v>1094</v>
      </c>
      <c r="U11" s="101" t="s">
        <v>1092</v>
      </c>
    </row>
    <row r="12" spans="1:21" x14ac:dyDescent="0.25">
      <c r="A12" s="56">
        <v>2944</v>
      </c>
      <c r="B12" s="56" t="s">
        <v>1012</v>
      </c>
      <c r="C12" s="4">
        <v>42379</v>
      </c>
      <c r="D12" s="160" t="s">
        <v>1013</v>
      </c>
      <c r="E12" s="80">
        <v>-58.416626566000005</v>
      </c>
      <c r="F12" s="80">
        <v>4.0000000000000001E-3</v>
      </c>
      <c r="G12" s="80">
        <v>-180.18578268800002</v>
      </c>
      <c r="H12" s="80">
        <v>0.02</v>
      </c>
      <c r="I12" s="80">
        <v>3.2366810872050955</v>
      </c>
      <c r="J12" s="80">
        <v>0.14051922007774637</v>
      </c>
      <c r="K12" s="80">
        <v>2.3313356356047255</v>
      </c>
      <c r="L12" s="80">
        <v>0.73078058514935551</v>
      </c>
      <c r="R12" s="101">
        <v>-20</v>
      </c>
      <c r="S12" s="101">
        <v>7.4485229080000002</v>
      </c>
      <c r="T12" s="101">
        <v>27.84001001</v>
      </c>
      <c r="U12" s="101" t="s">
        <v>1095</v>
      </c>
    </row>
    <row r="13" spans="1:21" x14ac:dyDescent="0.25">
      <c r="A13" s="56">
        <v>2946</v>
      </c>
      <c r="B13" s="56">
        <v>1035</v>
      </c>
      <c r="C13" s="4">
        <v>42381</v>
      </c>
      <c r="D13" s="160" t="s">
        <v>1019</v>
      </c>
      <c r="E13" s="80">
        <v>-67.006024570000008</v>
      </c>
      <c r="F13" s="80">
        <v>3.0000000000000001E-3</v>
      </c>
      <c r="G13" s="80">
        <v>-186.30996409900001</v>
      </c>
      <c r="H13" s="80">
        <v>1.7000000000000001E-2</v>
      </c>
      <c r="I13" s="80">
        <v>5.1232418932400936</v>
      </c>
      <c r="J13" s="80">
        <v>0.15531362056101633</v>
      </c>
      <c r="K13" s="80">
        <v>11.732892333353506</v>
      </c>
      <c r="L13" s="80">
        <v>0.65538460933908693</v>
      </c>
      <c r="R13" s="101">
        <v>0</v>
      </c>
      <c r="S13" s="101">
        <v>6.6351886660000003</v>
      </c>
      <c r="T13" s="101">
        <v>23.709665409999999</v>
      </c>
      <c r="U13" s="101" t="s">
        <v>1096</v>
      </c>
    </row>
    <row r="14" spans="1:21" x14ac:dyDescent="0.25">
      <c r="R14" s="101">
        <v>20</v>
      </c>
      <c r="S14" s="101">
        <v>5.9223957760000001</v>
      </c>
      <c r="T14" s="101">
        <v>20.301910769999999</v>
      </c>
      <c r="U14" s="101" t="s">
        <v>1097</v>
      </c>
    </row>
    <row r="15" spans="1:21" x14ac:dyDescent="0.25">
      <c r="A15" s="56">
        <v>3723</v>
      </c>
      <c r="B15" s="56">
        <v>1345</v>
      </c>
      <c r="C15" s="4">
        <v>43600</v>
      </c>
      <c r="D15" s="160" t="s">
        <v>1282</v>
      </c>
      <c r="E15" s="80">
        <v>-102.848168215</v>
      </c>
      <c r="F15" s="80">
        <v>1.2E-2</v>
      </c>
      <c r="G15" s="80">
        <v>-256.873066462</v>
      </c>
      <c r="H15" s="80">
        <v>2.1999999999999999E-2</v>
      </c>
      <c r="I15" s="80">
        <v>5.4093285543925784</v>
      </c>
      <c r="J15" s="80">
        <v>0.2682535575745561</v>
      </c>
      <c r="K15" s="80">
        <v>9.6676733931804204</v>
      </c>
      <c r="L15" s="80">
        <v>0.84969689463632148</v>
      </c>
      <c r="R15" s="101">
        <v>50</v>
      </c>
      <c r="S15" s="101">
        <v>5.0371434869999998</v>
      </c>
      <c r="T15" s="101">
        <v>16.195758739999999</v>
      </c>
      <c r="U15" s="101" t="s">
        <v>1098</v>
      </c>
    </row>
    <row r="16" spans="1:21" x14ac:dyDescent="0.25">
      <c r="R16" s="101">
        <v>100</v>
      </c>
      <c r="S16" s="101">
        <v>3.9252950470000001</v>
      </c>
      <c r="T16" s="101">
        <v>11.29045443</v>
      </c>
      <c r="U16" s="101" t="s">
        <v>1099</v>
      </c>
    </row>
    <row r="17" spans="18:21" x14ac:dyDescent="0.25">
      <c r="R17" s="101">
        <v>200</v>
      </c>
      <c r="S17" s="101">
        <v>2.498946712</v>
      </c>
      <c r="T17" s="101">
        <v>5.8261509130000002</v>
      </c>
      <c r="U17" s="101" t="s">
        <v>1100</v>
      </c>
    </row>
    <row r="18" spans="18:21" x14ac:dyDescent="0.25">
      <c r="R18" s="101">
        <v>300</v>
      </c>
      <c r="S18" s="101">
        <v>1.6557147400000001</v>
      </c>
      <c r="T18" s="101">
        <v>3.2402460280000001</v>
      </c>
      <c r="U18" s="101" t="s">
        <v>1101</v>
      </c>
    </row>
    <row r="19" spans="18:21" x14ac:dyDescent="0.25">
      <c r="R19" s="101">
        <v>400</v>
      </c>
      <c r="S19" s="101">
        <v>1.1321971790000001</v>
      </c>
      <c r="T19" s="101">
        <v>1.918261701</v>
      </c>
      <c r="U19" s="101"/>
    </row>
    <row r="20" spans="18:21" x14ac:dyDescent="0.25">
      <c r="R20" s="101">
        <v>500</v>
      </c>
      <c r="S20" s="101">
        <v>0.795701467</v>
      </c>
      <c r="T20" s="101">
        <v>1.1943159210000001</v>
      </c>
      <c r="U20" s="101"/>
    </row>
    <row r="21" spans="18:21" x14ac:dyDescent="0.25">
      <c r="R21" s="101"/>
      <c r="S21" s="101"/>
      <c r="T21" s="101"/>
      <c r="U21" s="101"/>
    </row>
    <row r="22" spans="18:21" x14ac:dyDescent="0.25">
      <c r="R22" s="101">
        <v>600</v>
      </c>
      <c r="S22" s="101">
        <v>0.57266039899999999</v>
      </c>
      <c r="T22" s="101">
        <v>0.77453021200000005</v>
      </c>
      <c r="U22" s="101"/>
    </row>
    <row r="23" spans="18:21" x14ac:dyDescent="0.25">
      <c r="R23" s="101">
        <v>700</v>
      </c>
      <c r="S23" s="101">
        <v>0.42066524799999999</v>
      </c>
      <c r="T23" s="101">
        <v>0.51942619400000001</v>
      </c>
      <c r="U23" s="101"/>
    </row>
    <row r="24" spans="18:21" x14ac:dyDescent="0.25">
      <c r="R24" s="101"/>
      <c r="S24" s="101"/>
      <c r="T24" s="101"/>
      <c r="U24" s="101"/>
    </row>
    <row r="25" spans="18:21" x14ac:dyDescent="0.25">
      <c r="R25" s="101"/>
      <c r="S25" s="101"/>
      <c r="T25" s="101"/>
      <c r="U25" s="101"/>
    </row>
    <row r="26" spans="18:21" x14ac:dyDescent="0.25">
      <c r="R26" s="101"/>
      <c r="S26" s="101"/>
      <c r="T26" s="101"/>
      <c r="U26" s="101"/>
    </row>
    <row r="27" spans="18:21" x14ac:dyDescent="0.25">
      <c r="R27" s="101"/>
      <c r="S27" s="101"/>
      <c r="T27" s="101"/>
      <c r="U27" s="101"/>
    </row>
    <row r="28" spans="18:21" x14ac:dyDescent="0.25">
      <c r="R28" s="101"/>
      <c r="S28" s="101"/>
      <c r="T28" s="101"/>
      <c r="U28" s="101"/>
    </row>
    <row r="29" spans="18:21" x14ac:dyDescent="0.25">
      <c r="R29" s="101">
        <v>800</v>
      </c>
      <c r="S29" s="101">
        <v>0.31449344200000001</v>
      </c>
      <c r="T29" s="101">
        <v>0.35831113599999997</v>
      </c>
      <c r="U29" s="101"/>
    </row>
    <row r="30" spans="18:21" x14ac:dyDescent="0.25">
      <c r="R30" s="101">
        <v>900</v>
      </c>
      <c r="S30" s="101">
        <v>0.238690438</v>
      </c>
      <c r="T30" s="101">
        <v>0.25326476399999998</v>
      </c>
      <c r="U30" s="101"/>
    </row>
    <row r="31" spans="18:21" x14ac:dyDescent="0.25">
      <c r="R31" s="101">
        <v>1000</v>
      </c>
      <c r="S31" s="101">
        <v>0.18351551199999999</v>
      </c>
      <c r="T31" s="101">
        <v>0.18293668699999999</v>
      </c>
      <c r="U31" s="101"/>
    </row>
    <row r="32" spans="18:21" x14ac:dyDescent="0.25">
      <c r="R32" s="101">
        <v>2000</v>
      </c>
      <c r="S32" s="101">
        <v>1.9603822E-2</v>
      </c>
      <c r="T32" s="101">
        <v>2.0883549000000001E-2</v>
      </c>
      <c r="U32" s="101"/>
    </row>
    <row r="33" spans="18:21" x14ac:dyDescent="0.25">
      <c r="R33" s="101">
        <v>3000</v>
      </c>
      <c r="S33" s="101">
        <v>1.7927869999999999E-3</v>
      </c>
      <c r="T33" s="101">
        <v>1.3545188E-2</v>
      </c>
      <c r="U33" s="10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summary</vt:lpstr>
      <vt:lpstr>Zero tests</vt:lpstr>
      <vt:lpstr>plot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PA001</dc:creator>
  <cp:lastModifiedBy>PA001</cp:lastModifiedBy>
  <cp:lastPrinted>2017-09-20T20:23:05Z</cp:lastPrinted>
  <dcterms:created xsi:type="dcterms:W3CDTF">2016-04-12T04:00:36Z</dcterms:created>
  <dcterms:modified xsi:type="dcterms:W3CDTF">2025-10-29T03:35:09Z</dcterms:modified>
</cp:coreProperties>
</file>